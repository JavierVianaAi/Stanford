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Stanford Charlie 5\"/>
    </mc:Choice>
  </mc:AlternateContent>
  <xr:revisionPtr revIDLastSave="0" documentId="8_{02E306D8-5A52-478D-81BA-D8B12B1AF64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puts_Outputs" sheetId="2" r:id="rId1"/>
    <sheet name="Fuel" sheetId="3" r:id="rId2"/>
    <sheet name="DOC" sheetId="4" r:id="rId3"/>
    <sheet name="Environmental" sheetId="5" r:id="rId4"/>
    <sheet name="Flight time" sheetId="9" r:id="rId5"/>
    <sheet name="Extra information" sheetId="6" r:id="rId6"/>
    <sheet name="(c)" sheetId="10" r:id="rId7"/>
  </sheets>
  <definedNames>
    <definedName name="A">Inputs_Outputs!$B$4</definedName>
    <definedName name="a_sound">Inputs_Outputs!$J$5</definedName>
    <definedName name="a0">Inputs_Outputs!$N$11</definedName>
    <definedName name="b">Inputs_Outputs!$B$5</definedName>
    <definedName name="BPR">Inputs_Outputs!$F$3</definedName>
    <definedName name="c_dw">Fuel!$C$23</definedName>
    <definedName name="Cd">Fuel!$C$31</definedName>
    <definedName name="Cd0">Fuel!$C$28</definedName>
    <definedName name="Cdoc">DOC!$C$92</definedName>
    <definedName name="CF_AIC">Environmental!$C$65</definedName>
    <definedName name="CF_NOx">Environmental!$C$64</definedName>
    <definedName name="CL">Fuel!$C$29</definedName>
    <definedName name="Cl_opt">Fuel!$C$38</definedName>
    <definedName name="d_f">Inputs_Outputs!#REF!</definedName>
    <definedName name="df">Inputs_Outputs!#REF!</definedName>
    <definedName name="e">Fuel!$C$15</definedName>
    <definedName name="E_glide">Fuel!$C$33</definedName>
    <definedName name="e_oswald">Fuel!$C$15</definedName>
    <definedName name="E_ratio">Fuel!$C$31</definedName>
    <definedName name="EI_NOx">Environmental!$C$50</definedName>
    <definedName name="EI_NOx_kg">Environmental!$C$51</definedName>
    <definedName name="FL">'Flight time'!$B$167</definedName>
    <definedName name="fuel">Fuel!$I$38</definedName>
    <definedName name="fuel_km">Fuel!$I$41</definedName>
    <definedName name="fuel_mile">Fuel!$I$42</definedName>
    <definedName name="g">Inputs_Outputs!$N$2</definedName>
    <definedName name="H">Inputs_Outputs!$J$3</definedName>
    <definedName name="Hft">Inputs_Outputs!$J$4</definedName>
    <definedName name="k_inf">DOC!$C$10</definedName>
    <definedName name="L">Inputs_Outputs!$N$4</definedName>
    <definedName name="M">Inputs_Outputs!$J$2</definedName>
    <definedName name="m_e">Inputs_Outputs!$F$8</definedName>
    <definedName name="M_mo">Inputs_Outputs!$B$14</definedName>
    <definedName name="M_opt">Inputs_Outputs!$B$13</definedName>
    <definedName name="m_PL">DOC!$C$84</definedName>
    <definedName name="m_PLmax">Inputs_Outputs!$B$10</definedName>
    <definedName name="Mff">DOC!$C$43</definedName>
    <definedName name="mFOB">DOC!$C$50</definedName>
    <definedName name="MTOW">Inputs_Outputs!$B$2</definedName>
    <definedName name="MZFW">Inputs_Outputs!$B$6</definedName>
    <definedName name="n_E">Inputs_Outputs!$F$2</definedName>
    <definedName name="n_PAX">Inputs_Outputs!$B$11</definedName>
    <definedName name="n_shafts">Inputs_Outputs!$F$7</definedName>
    <definedName name="n_stages">Inputs_Outputs!$F$6</definedName>
    <definedName name="nt_a">DOC!$C$40</definedName>
    <definedName name="OAPR">Inputs_Outputs!$F$5</definedName>
    <definedName name="OEW">Inputs_Outputs!$B$9</definedName>
    <definedName name="p">Inputs_Outputs!$J$7</definedName>
    <definedName name="p_t">Inputs_Outputs!$N$9</definedName>
    <definedName name="p0">Inputs_Outputs!$N$6</definedName>
    <definedName name="phi">Inputs_Outputs!$B$7</definedName>
    <definedName name="phi_rad">Inputs_Outputs!$B$8</definedName>
    <definedName name="price_fuel">DOC!$C$7</definedName>
    <definedName name="R_const">Inputs_Outputs!$N$3</definedName>
    <definedName name="range">Inputs_Outputs!$J$12</definedName>
    <definedName name="range_added">'Flight time'!$B$170</definedName>
    <definedName name="range_mile">DOC!$D$41</definedName>
    <definedName name="rho">Inputs_Outputs!$J$8</definedName>
    <definedName name="rho_t">Inputs_Outputs!$N$10</definedName>
    <definedName name="rho0">Inputs_Outputs!$N$7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Fuel!$I$38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SS">Inputs_Outputs!$B$3</definedName>
    <definedName name="Swet">Inputs_Outputs!#REF!</definedName>
    <definedName name="T">Inputs_Outputs!$J$6</definedName>
    <definedName name="T_t">Inputs_Outputs!$N$8</definedName>
    <definedName name="T_to">Inputs_Outputs!$F$4</definedName>
    <definedName name="T0">Inputs_Outputs!$N$5</definedName>
    <definedName name="TAS">Inputs_Outputs!$J$10</definedName>
    <definedName name="TAS_regulated">'Flight time'!$B$166</definedName>
    <definedName name="tb">DOC!$C$79</definedName>
    <definedName name="tf">DOC!$C$59</definedName>
    <definedName name="tf_added">'Flight time'!$B$168</definedName>
    <definedName name="TSFC">Fuel!$I$35</definedName>
    <definedName name="Uaf">DOC!$C$96</definedName>
    <definedName name="Uhf">DOC!$C$97</definedName>
    <definedName name="w_co2">Inputs_Outputs!$B$164</definedName>
    <definedName name="w_doc">Inputs_Outputs!$B$157</definedName>
    <definedName name="w_env">Inputs_Outputs!$B$158</definedName>
    <definedName name="w_resource">Inputs_Outputs!$B$163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2" l="1"/>
  <c r="B5" i="2"/>
  <c r="P143" i="2"/>
  <c r="E35" i="3" l="1"/>
  <c r="B136" i="9" l="1"/>
  <c r="S63" i="9" l="1"/>
  <c r="R63" i="9"/>
  <c r="Q63" i="9"/>
  <c r="P63" i="9"/>
  <c r="O63" i="9"/>
  <c r="N63" i="9"/>
  <c r="M63" i="9"/>
  <c r="L63" i="9"/>
  <c r="K63" i="9"/>
  <c r="S58" i="9"/>
  <c r="R58" i="9"/>
  <c r="Q58" i="9"/>
  <c r="P58" i="9"/>
  <c r="O58" i="9"/>
  <c r="N58" i="9"/>
  <c r="M58" i="9"/>
  <c r="L58" i="9"/>
  <c r="K58" i="9"/>
  <c r="S52" i="9"/>
  <c r="R52" i="9"/>
  <c r="Q52" i="9"/>
  <c r="P52" i="9"/>
  <c r="O52" i="9"/>
  <c r="N52" i="9"/>
  <c r="M52" i="9"/>
  <c r="L52" i="9"/>
  <c r="K52" i="9"/>
  <c r="B132" i="9" l="1"/>
  <c r="B133" i="9"/>
  <c r="B134" i="9"/>
  <c r="B135" i="9"/>
  <c r="B137" i="9"/>
  <c r="B138" i="9"/>
  <c r="B139" i="9"/>
  <c r="B140" i="9"/>
  <c r="B141" i="9"/>
  <c r="F142" i="9"/>
  <c r="F141" i="9"/>
  <c r="F140" i="9"/>
  <c r="F139" i="9"/>
  <c r="F138" i="9"/>
  <c r="F137" i="9"/>
  <c r="F136" i="9"/>
  <c r="F135" i="9"/>
  <c r="F134" i="9"/>
  <c r="F133" i="9"/>
  <c r="F132" i="9"/>
  <c r="B142" i="9"/>
  <c r="C10" i="4" l="1"/>
  <c r="C61" i="4" l="1"/>
  <c r="C60" i="4"/>
  <c r="P52" i="2" l="1"/>
  <c r="AJ103" i="2" l="1"/>
  <c r="AJ102" i="2"/>
  <c r="P78" i="2"/>
  <c r="P77" i="2"/>
  <c r="P53" i="2"/>
  <c r="C7" i="3" l="1"/>
  <c r="C27" i="3" l="1"/>
  <c r="C76" i="4" l="1"/>
  <c r="J45" i="6" l="1"/>
  <c r="J41" i="6"/>
  <c r="C75" i="4" l="1"/>
  <c r="D41" i="4" l="1"/>
  <c r="C26" i="4" l="1"/>
  <c r="C36" i="4"/>
  <c r="C37" i="4" s="1"/>
  <c r="C15" i="4"/>
  <c r="C14" i="4" l="1"/>
  <c r="C5" i="3"/>
  <c r="B10" i="2" l="1"/>
  <c r="J46" i="6"/>
  <c r="J42" i="6"/>
  <c r="C77" i="4" l="1"/>
  <c r="C78" i="4"/>
  <c r="C18" i="4" l="1"/>
  <c r="C17" i="4" s="1"/>
  <c r="C19" i="4" s="1"/>
  <c r="C56" i="4"/>
  <c r="C57" i="4" s="1"/>
  <c r="C63" i="4"/>
  <c r="C55" i="4"/>
  <c r="C41" i="4" l="1"/>
  <c r="C8" i="3"/>
  <c r="D12" i="5"/>
  <c r="D13" i="5"/>
  <c r="D14" i="5"/>
  <c r="C39" i="5"/>
  <c r="D15" i="5"/>
  <c r="C69" i="4" l="1"/>
  <c r="B18" i="6" l="1"/>
  <c r="H18" i="6"/>
  <c r="E18" i="6"/>
  <c r="P54" i="2" l="1"/>
  <c r="P79" i="2"/>
  <c r="AJ104" i="2"/>
  <c r="K119" i="2" s="1"/>
  <c r="C58" i="4"/>
  <c r="C62" i="4"/>
  <c r="C46" i="4"/>
  <c r="C39" i="4"/>
  <c r="J8" i="2"/>
  <c r="C20" i="3"/>
  <c r="I13" i="3"/>
  <c r="C11" i="3"/>
  <c r="C10" i="3"/>
  <c r="B8" i="2"/>
  <c r="B12" i="2"/>
  <c r="J6" i="2"/>
  <c r="C46" i="5" s="1"/>
  <c r="I8" i="3"/>
  <c r="I7" i="3"/>
  <c r="I6" i="3"/>
  <c r="I5" i="3"/>
  <c r="I24" i="3" s="1"/>
  <c r="I21" i="3"/>
  <c r="I20" i="3"/>
  <c r="J4" i="2"/>
  <c r="E103" i="2" l="1"/>
  <c r="B167" i="9"/>
  <c r="B168" i="9"/>
  <c r="I25" i="3"/>
  <c r="BU53" i="2"/>
  <c r="BU69" i="2"/>
  <c r="BU66" i="2"/>
  <c r="BU63" i="2"/>
  <c r="BU60" i="2"/>
  <c r="BU57" i="2"/>
  <c r="BU54" i="2"/>
  <c r="BU70" i="2"/>
  <c r="BU67" i="2"/>
  <c r="BU64" i="2"/>
  <c r="BU61" i="2"/>
  <c r="BU58" i="2"/>
  <c r="BU55" i="2"/>
  <c r="BU71" i="2"/>
  <c r="BU68" i="2"/>
  <c r="BU65" i="2"/>
  <c r="BU62" i="2"/>
  <c r="BU59" i="2"/>
  <c r="BU56" i="2"/>
  <c r="BU52" i="2"/>
  <c r="M103" i="2"/>
  <c r="M114" i="2"/>
  <c r="M112" i="2"/>
  <c r="M113" i="2"/>
  <c r="M111" i="2"/>
  <c r="M104" i="2"/>
  <c r="M120" i="2"/>
  <c r="M106" i="2"/>
  <c r="M105" i="2"/>
  <c r="M107" i="2"/>
  <c r="M102" i="2"/>
  <c r="M121" i="2"/>
  <c r="M110" i="2"/>
  <c r="M115" i="2"/>
  <c r="M108" i="2"/>
  <c r="BU80" i="2"/>
  <c r="BU96" i="2"/>
  <c r="BU93" i="2"/>
  <c r="BU86" i="2"/>
  <c r="BU83" i="2"/>
  <c r="BU84" i="2"/>
  <c r="BU81" i="2"/>
  <c r="BU77" i="2"/>
  <c r="BU90" i="2"/>
  <c r="BU87" i="2"/>
  <c r="BU94" i="2"/>
  <c r="BU92" i="2"/>
  <c r="BU82" i="2"/>
  <c r="BU95" i="2"/>
  <c r="BU88" i="2"/>
  <c r="BU85" i="2"/>
  <c r="BU78" i="2"/>
  <c r="BU91" i="2"/>
  <c r="BU89" i="2"/>
  <c r="BU79" i="2"/>
  <c r="BS78" i="2"/>
  <c r="BS82" i="2"/>
  <c r="BS86" i="2"/>
  <c r="BS90" i="2"/>
  <c r="BS94" i="2"/>
  <c r="BR79" i="2"/>
  <c r="BR83" i="2"/>
  <c r="BR87" i="2"/>
  <c r="BR91" i="2"/>
  <c r="BR95" i="2"/>
  <c r="BQ80" i="2"/>
  <c r="BQ84" i="2"/>
  <c r="BQ88" i="2"/>
  <c r="BQ92" i="2"/>
  <c r="BQ96" i="2"/>
  <c r="BP81" i="2"/>
  <c r="BP85" i="2"/>
  <c r="BP89" i="2"/>
  <c r="BP93" i="2"/>
  <c r="BO78" i="2"/>
  <c r="BO82" i="2"/>
  <c r="BO86" i="2"/>
  <c r="BO90" i="2"/>
  <c r="BO94" i="2"/>
  <c r="BN79" i="2"/>
  <c r="BN83" i="2"/>
  <c r="BN87" i="2"/>
  <c r="BN91" i="2"/>
  <c r="BN95" i="2"/>
  <c r="BM80" i="2"/>
  <c r="BM84" i="2"/>
  <c r="BM88" i="2"/>
  <c r="BM92" i="2"/>
  <c r="BM96" i="2"/>
  <c r="BL81" i="2"/>
  <c r="BL85" i="2"/>
  <c r="BL89" i="2"/>
  <c r="BL93" i="2"/>
  <c r="BK78" i="2"/>
  <c r="BK82" i="2"/>
  <c r="BK86" i="2"/>
  <c r="BK90" i="2"/>
  <c r="BK94" i="2"/>
  <c r="BM77" i="2"/>
  <c r="BQ77" i="2"/>
  <c r="BK77" i="2"/>
  <c r="BS93" i="2"/>
  <c r="BN90" i="2"/>
  <c r="BL84" i="2"/>
  <c r="BK89" i="2"/>
  <c r="BS79" i="2"/>
  <c r="BS83" i="2"/>
  <c r="BS87" i="2"/>
  <c r="BS91" i="2"/>
  <c r="BS95" i="2"/>
  <c r="BR80" i="2"/>
  <c r="BR84" i="2"/>
  <c r="BR88" i="2"/>
  <c r="BR92" i="2"/>
  <c r="BR96" i="2"/>
  <c r="BQ81" i="2"/>
  <c r="BQ85" i="2"/>
  <c r="BQ89" i="2"/>
  <c r="BQ93" i="2"/>
  <c r="BP78" i="2"/>
  <c r="BP82" i="2"/>
  <c r="BP86" i="2"/>
  <c r="BP90" i="2"/>
  <c r="BP94" i="2"/>
  <c r="BO79" i="2"/>
  <c r="BO83" i="2"/>
  <c r="BO87" i="2"/>
  <c r="BO91" i="2"/>
  <c r="BO95" i="2"/>
  <c r="BN80" i="2"/>
  <c r="BN84" i="2"/>
  <c r="BN88" i="2"/>
  <c r="BN92" i="2"/>
  <c r="BN96" i="2"/>
  <c r="BM81" i="2"/>
  <c r="BM85" i="2"/>
  <c r="BM89" i="2"/>
  <c r="BM93" i="2"/>
  <c r="BL78" i="2"/>
  <c r="BL82" i="2"/>
  <c r="BL86" i="2"/>
  <c r="BL90" i="2"/>
  <c r="BL94" i="2"/>
  <c r="BK79" i="2"/>
  <c r="BK83" i="2"/>
  <c r="BK87" i="2"/>
  <c r="BK91" i="2"/>
  <c r="BK95" i="2"/>
  <c r="BN77" i="2"/>
  <c r="BR77" i="2"/>
  <c r="BS85" i="2"/>
  <c r="BS89" i="2"/>
  <c r="BR82" i="2"/>
  <c r="BR90" i="2"/>
  <c r="BQ79" i="2"/>
  <c r="BQ87" i="2"/>
  <c r="BQ95" i="2"/>
  <c r="BP84" i="2"/>
  <c r="BP92" i="2"/>
  <c r="BO81" i="2"/>
  <c r="BO89" i="2"/>
  <c r="BN78" i="2"/>
  <c r="BN86" i="2"/>
  <c r="BM79" i="2"/>
  <c r="BM83" i="2"/>
  <c r="BM91" i="2"/>
  <c r="BL80" i="2"/>
  <c r="BL88" i="2"/>
  <c r="BK81" i="2"/>
  <c r="BK85" i="2"/>
  <c r="BL77" i="2"/>
  <c r="BT77" i="2"/>
  <c r="BS80" i="2"/>
  <c r="BS84" i="2"/>
  <c r="BS88" i="2"/>
  <c r="BS92" i="2"/>
  <c r="BS96" i="2"/>
  <c r="BR81" i="2"/>
  <c r="BR85" i="2"/>
  <c r="BR89" i="2"/>
  <c r="BR93" i="2"/>
  <c r="BQ78" i="2"/>
  <c r="BQ82" i="2"/>
  <c r="BQ86" i="2"/>
  <c r="BQ90" i="2"/>
  <c r="BQ94" i="2"/>
  <c r="BP79" i="2"/>
  <c r="BP83" i="2"/>
  <c r="BP87" i="2"/>
  <c r="BP91" i="2"/>
  <c r="BP95" i="2"/>
  <c r="BO80" i="2"/>
  <c r="BO84" i="2"/>
  <c r="BO88" i="2"/>
  <c r="BO92" i="2"/>
  <c r="BO96" i="2"/>
  <c r="BN81" i="2"/>
  <c r="BN85" i="2"/>
  <c r="BN89" i="2"/>
  <c r="BN93" i="2"/>
  <c r="BM78" i="2"/>
  <c r="BM82" i="2"/>
  <c r="BM86" i="2"/>
  <c r="BM90" i="2"/>
  <c r="BM94" i="2"/>
  <c r="BL79" i="2"/>
  <c r="BL83" i="2"/>
  <c r="BL87" i="2"/>
  <c r="BL91" i="2"/>
  <c r="BL95" i="2"/>
  <c r="BK80" i="2"/>
  <c r="BK84" i="2"/>
  <c r="BK88" i="2"/>
  <c r="BK92" i="2"/>
  <c r="BK96" i="2"/>
  <c r="BO77" i="2"/>
  <c r="BS77" i="2"/>
  <c r="BS81" i="2"/>
  <c r="BR78" i="2"/>
  <c r="BR86" i="2"/>
  <c r="BR94" i="2"/>
  <c r="BQ83" i="2"/>
  <c r="BQ91" i="2"/>
  <c r="BP80" i="2"/>
  <c r="BP88" i="2"/>
  <c r="BP96" i="2"/>
  <c r="BO85" i="2"/>
  <c r="BO93" i="2"/>
  <c r="BN82" i="2"/>
  <c r="BN94" i="2"/>
  <c r="BM87" i="2"/>
  <c r="BM95" i="2"/>
  <c r="BL92" i="2"/>
  <c r="BL96" i="2"/>
  <c r="BK93" i="2"/>
  <c r="BP77" i="2"/>
  <c r="J113" i="2"/>
  <c r="H115" i="2"/>
  <c r="F109" i="2"/>
  <c r="F134" i="2" s="1"/>
  <c r="E106" i="2"/>
  <c r="D111" i="2"/>
  <c r="C107" i="2"/>
  <c r="BT62" i="2"/>
  <c r="BS67" i="2"/>
  <c r="BQ53" i="2"/>
  <c r="BP58" i="2"/>
  <c r="BO63" i="2"/>
  <c r="BN60" i="2"/>
  <c r="BM63" i="2"/>
  <c r="BL56" i="2"/>
  <c r="BL68" i="2"/>
  <c r="BK56" i="2"/>
  <c r="BK64" i="2"/>
  <c r="BK52" i="2"/>
  <c r="K116" i="2"/>
  <c r="J121" i="2"/>
  <c r="I118" i="2"/>
  <c r="G112" i="2"/>
  <c r="F117" i="2"/>
  <c r="D103" i="2"/>
  <c r="I102" i="2"/>
  <c r="BT54" i="2"/>
  <c r="BS59" i="2"/>
  <c r="BR64" i="2"/>
  <c r="BQ69" i="2"/>
  <c r="BO55" i="2"/>
  <c r="BM57" i="2"/>
  <c r="BM71" i="2"/>
  <c r="BL64" i="2"/>
  <c r="BP52" i="2"/>
  <c r="BK68" i="2"/>
  <c r="J105" i="2"/>
  <c r="I110" i="2"/>
  <c r="I135" i="2" s="1"/>
  <c r="H107" i="2"/>
  <c r="G104" i="2"/>
  <c r="G120" i="2"/>
  <c r="E114" i="2"/>
  <c r="E139" i="2" s="1"/>
  <c r="D119" i="2"/>
  <c r="C115" i="2"/>
  <c r="BT70" i="2"/>
  <c r="BR56" i="2"/>
  <c r="BQ61" i="2"/>
  <c r="BP66" i="2"/>
  <c r="BO71" i="2"/>
  <c r="BN68" i="2"/>
  <c r="BM67" i="2"/>
  <c r="BL60" i="2"/>
  <c r="BL52" i="2"/>
  <c r="BT52" i="2"/>
  <c r="BK60" i="2"/>
  <c r="L107" i="2"/>
  <c r="L132" i="2" s="1"/>
  <c r="BK71" i="2"/>
  <c r="BK55" i="2"/>
  <c r="BL67" i="2"/>
  <c r="BM70" i="2"/>
  <c r="BN67" i="2"/>
  <c r="BO54" i="2"/>
  <c r="BQ60" i="2"/>
  <c r="BS66" i="2"/>
  <c r="BT53" i="2"/>
  <c r="D118" i="2"/>
  <c r="D143" i="2" s="1"/>
  <c r="E105" i="2"/>
  <c r="G111" i="2"/>
  <c r="I117" i="2"/>
  <c r="J104" i="2"/>
  <c r="L110" i="2"/>
  <c r="L135" i="2" s="1"/>
  <c r="BK66" i="2"/>
  <c r="BR52" i="2"/>
  <c r="BL62" i="2"/>
  <c r="BM65" i="2"/>
  <c r="BN56" i="2"/>
  <c r="BP62" i="2"/>
  <c r="BR68" i="2"/>
  <c r="BS55" i="2"/>
  <c r="C111" i="2"/>
  <c r="D107" i="2"/>
  <c r="D132" i="2" s="1"/>
  <c r="F113" i="2"/>
  <c r="H119" i="2"/>
  <c r="I106" i="2"/>
  <c r="K112" i="2"/>
  <c r="K137" i="2" s="1"/>
  <c r="L108" i="2"/>
  <c r="L133" i="2" s="1"/>
  <c r="K105" i="2"/>
  <c r="K121" i="2"/>
  <c r="J118" i="2"/>
  <c r="I115" i="2"/>
  <c r="H112" i="2"/>
  <c r="G109" i="2"/>
  <c r="F106" i="2"/>
  <c r="E119" i="2"/>
  <c r="D116" i="2"/>
  <c r="C104" i="2"/>
  <c r="C120" i="2"/>
  <c r="BT67" i="2"/>
  <c r="BS64" i="2"/>
  <c r="BR61" i="2"/>
  <c r="BQ58" i="2"/>
  <c r="BP55" i="2"/>
  <c r="BP71" i="2"/>
  <c r="BO68" i="2"/>
  <c r="BN65" i="2"/>
  <c r="L105" i="2"/>
  <c r="L130" i="2" s="1"/>
  <c r="L121" i="2"/>
  <c r="L146" i="2" s="1"/>
  <c r="K118" i="2"/>
  <c r="J115" i="2"/>
  <c r="I112" i="2"/>
  <c r="H109" i="2"/>
  <c r="G106" i="2"/>
  <c r="F103" i="2"/>
  <c r="F119" i="2"/>
  <c r="E116" i="2"/>
  <c r="D113" i="2"/>
  <c r="K102" i="2"/>
  <c r="C117" i="2"/>
  <c r="BT64" i="2"/>
  <c r="BS61" i="2"/>
  <c r="BR58" i="2"/>
  <c r="BQ55" i="2"/>
  <c r="BQ71" i="2"/>
  <c r="BP68" i="2"/>
  <c r="BO65" i="2"/>
  <c r="BN62" i="2"/>
  <c r="BM59" i="2"/>
  <c r="BK57" i="2"/>
  <c r="BL69" i="2"/>
  <c r="BL53" i="2"/>
  <c r="BN71" i="2"/>
  <c r="BO58" i="2"/>
  <c r="BQ64" i="2"/>
  <c r="BS70" i="2"/>
  <c r="BT57" i="2"/>
  <c r="D102" i="2"/>
  <c r="E109" i="2"/>
  <c r="G115" i="2"/>
  <c r="I121" i="2"/>
  <c r="J108" i="2"/>
  <c r="L114" i="2"/>
  <c r="L139" i="2" s="1"/>
  <c r="K108" i="2"/>
  <c r="BK67" i="2"/>
  <c r="BS52" i="2"/>
  <c r="BL63" i="2"/>
  <c r="BM66" i="2"/>
  <c r="BN59" i="2"/>
  <c r="BP65" i="2"/>
  <c r="BR71" i="2"/>
  <c r="BS58" i="2"/>
  <c r="C114" i="2"/>
  <c r="D110" i="2"/>
  <c r="F116" i="2"/>
  <c r="G103" i="2"/>
  <c r="I109" i="2"/>
  <c r="K115" i="2"/>
  <c r="C102" i="2"/>
  <c r="BK62" i="2"/>
  <c r="BN52" i="2"/>
  <c r="BL58" i="2"/>
  <c r="BM61" i="2"/>
  <c r="BO67" i="2"/>
  <c r="BP54" i="2"/>
  <c r="BR60" i="2"/>
  <c r="BT66" i="2"/>
  <c r="C103" i="2"/>
  <c r="E118" i="2"/>
  <c r="F105" i="2"/>
  <c r="H111" i="2"/>
  <c r="J117" i="2"/>
  <c r="K104" i="2"/>
  <c r="L112" i="2"/>
  <c r="L137" i="2" s="1"/>
  <c r="K109" i="2"/>
  <c r="J106" i="2"/>
  <c r="I103" i="2"/>
  <c r="I119" i="2"/>
  <c r="H116" i="2"/>
  <c r="G113" i="2"/>
  <c r="F110" i="2"/>
  <c r="E107" i="2"/>
  <c r="D104" i="2"/>
  <c r="D120" i="2"/>
  <c r="C108" i="2"/>
  <c r="BT55" i="2"/>
  <c r="BT71" i="2"/>
  <c r="BS68" i="2"/>
  <c r="BR65" i="2"/>
  <c r="BQ62" i="2"/>
  <c r="BP59" i="2"/>
  <c r="BO56" i="2"/>
  <c r="BN53" i="2"/>
  <c r="BN69" i="2"/>
  <c r="L109" i="2"/>
  <c r="L134" i="2" s="1"/>
  <c r="K106" i="2"/>
  <c r="J103" i="2"/>
  <c r="J119" i="2"/>
  <c r="I116" i="2"/>
  <c r="H113" i="2"/>
  <c r="G110" i="2"/>
  <c r="F107" i="2"/>
  <c r="E104" i="2"/>
  <c r="E120" i="2"/>
  <c r="D117" i="2"/>
  <c r="C105" i="2"/>
  <c r="C121" i="2"/>
  <c r="BT68" i="2"/>
  <c r="BS65" i="2"/>
  <c r="BR62" i="2"/>
  <c r="BQ59" i="2"/>
  <c r="BP56" i="2"/>
  <c r="BO53" i="2"/>
  <c r="BO69" i="2"/>
  <c r="BN66" i="2"/>
  <c r="BK69" i="2"/>
  <c r="BK53" i="2"/>
  <c r="BL65" i="2"/>
  <c r="BM68" i="2"/>
  <c r="BN63" i="2"/>
  <c r="L119" i="2"/>
  <c r="L144" i="2" s="1"/>
  <c r="BK63" i="2"/>
  <c r="BO52" i="2"/>
  <c r="BL59" i="2"/>
  <c r="BM62" i="2"/>
  <c r="BO70" i="2"/>
  <c r="BP57" i="2"/>
  <c r="BR63" i="2"/>
  <c r="BT69" i="2"/>
  <c r="C106" i="2"/>
  <c r="E121" i="2"/>
  <c r="F108" i="2"/>
  <c r="H114" i="2"/>
  <c r="J120" i="2"/>
  <c r="K107" i="2"/>
  <c r="L111" i="2"/>
  <c r="L136" i="2" s="1"/>
  <c r="BK58" i="2"/>
  <c r="BL70" i="2"/>
  <c r="BL54" i="2"/>
  <c r="BM53" i="2"/>
  <c r="BO59" i="2"/>
  <c r="BQ65" i="2"/>
  <c r="BS71" i="2"/>
  <c r="BT58" i="2"/>
  <c r="E102" i="2"/>
  <c r="E110" i="2"/>
  <c r="G116" i="2"/>
  <c r="H103" i="2"/>
  <c r="J109" i="2"/>
  <c r="L115" i="2"/>
  <c r="L140" i="2" s="1"/>
  <c r="L116" i="2"/>
  <c r="L141" i="2" s="1"/>
  <c r="K113" i="2"/>
  <c r="J110" i="2"/>
  <c r="I107" i="2"/>
  <c r="H104" i="2"/>
  <c r="H120" i="2"/>
  <c r="G117" i="2"/>
  <c r="F114" i="2"/>
  <c r="E111" i="2"/>
  <c r="D108" i="2"/>
  <c r="F102" i="2"/>
  <c r="C112" i="2"/>
  <c r="BT59" i="2"/>
  <c r="BS56" i="2"/>
  <c r="BR53" i="2"/>
  <c r="BR69" i="2"/>
  <c r="BQ66" i="2"/>
  <c r="BP63" i="2"/>
  <c r="BO60" i="2"/>
  <c r="BN57" i="2"/>
  <c r="BM54" i="2"/>
  <c r="L113" i="2"/>
  <c r="L138" i="2" s="1"/>
  <c r="K110" i="2"/>
  <c r="J107" i="2"/>
  <c r="I104" i="2"/>
  <c r="I120" i="2"/>
  <c r="H117" i="2"/>
  <c r="G114" i="2"/>
  <c r="F111" i="2"/>
  <c r="E108" i="2"/>
  <c r="D105" i="2"/>
  <c r="D121" i="2"/>
  <c r="C109" i="2"/>
  <c r="BT56" i="2"/>
  <c r="BS53" i="2"/>
  <c r="BS69" i="2"/>
  <c r="BR66" i="2"/>
  <c r="BQ63" i="2"/>
  <c r="BP60" i="2"/>
  <c r="BO57" i="2"/>
  <c r="BN54" i="2"/>
  <c r="BN70" i="2"/>
  <c r="BK65" i="2"/>
  <c r="BQ52" i="2"/>
  <c r="BL61" i="2"/>
  <c r="BM64" i="2"/>
  <c r="BN55" i="2"/>
  <c r="BP61" i="2"/>
  <c r="BR67" i="2"/>
  <c r="BS54" i="2"/>
  <c r="C110" i="2"/>
  <c r="D106" i="2"/>
  <c r="F112" i="2"/>
  <c r="H118" i="2"/>
  <c r="I105" i="2"/>
  <c r="L103" i="2"/>
  <c r="L128" i="2" s="1"/>
  <c r="BM56" i="2"/>
  <c r="BT61" i="2"/>
  <c r="H106" i="2"/>
  <c r="BK54" i="2"/>
  <c r="BP70" i="2"/>
  <c r="D115" i="2"/>
  <c r="K120" i="2"/>
  <c r="J114" i="2"/>
  <c r="G121" i="2"/>
  <c r="J102" i="2"/>
  <c r="BR57" i="2"/>
  <c r="BO64" i="2"/>
  <c r="K114" i="2"/>
  <c r="H121" i="2"/>
  <c r="D109" i="2"/>
  <c r="BS57" i="2"/>
  <c r="BP64" i="2"/>
  <c r="BK61" i="2"/>
  <c r="BO66" i="2"/>
  <c r="BR59" i="2"/>
  <c r="L102" i="2"/>
  <c r="F104" i="2"/>
  <c r="J116" i="2"/>
  <c r="L106" i="2"/>
  <c r="L131" i="2" s="1"/>
  <c r="BS62" i="2"/>
  <c r="D114" i="2"/>
  <c r="K111" i="2"/>
  <c r="BR55" i="2"/>
  <c r="BK70" i="2"/>
  <c r="BN64" i="2"/>
  <c r="C119" i="2"/>
  <c r="K117" i="2"/>
  <c r="D112" i="2"/>
  <c r="L117" i="2"/>
  <c r="L142" i="2" s="1"/>
  <c r="BT60" i="2"/>
  <c r="BQ67" i="2"/>
  <c r="BM60" i="2"/>
  <c r="C118" i="2"/>
  <c r="K103" i="2"/>
  <c r="BK59" i="2"/>
  <c r="BO62" i="2"/>
  <c r="H102" i="2"/>
  <c r="J112" i="2"/>
  <c r="BL66" i="2"/>
  <c r="BQ57" i="2"/>
  <c r="F121" i="2"/>
  <c r="L104" i="2"/>
  <c r="L129" i="2" s="1"/>
  <c r="I111" i="2"/>
  <c r="F118" i="2"/>
  <c r="C116" i="2"/>
  <c r="BQ54" i="2"/>
  <c r="BN61" i="2"/>
  <c r="J111" i="2"/>
  <c r="G118" i="2"/>
  <c r="G102" i="2"/>
  <c r="BR54" i="2"/>
  <c r="BO61" i="2"/>
  <c r="BM52" i="2"/>
  <c r="BP69" i="2"/>
  <c r="G107" i="2"/>
  <c r="I113" i="2"/>
  <c r="BL71" i="2"/>
  <c r="BQ68" i="2"/>
  <c r="E113" i="2"/>
  <c r="L118" i="2"/>
  <c r="L143" i="2" s="1"/>
  <c r="BM69" i="2"/>
  <c r="BS63" i="2"/>
  <c r="G108" i="2"/>
  <c r="L120" i="2"/>
  <c r="L145" i="2" s="1"/>
  <c r="H108" i="2"/>
  <c r="E115" i="2"/>
  <c r="BT63" i="2"/>
  <c r="BQ70" i="2"/>
  <c r="BM58" i="2"/>
  <c r="I108" i="2"/>
  <c r="F115" i="2"/>
  <c r="C113" i="2"/>
  <c r="BR70" i="2"/>
  <c r="BN58" i="2"/>
  <c r="BL57" i="2"/>
  <c r="BP53" i="2"/>
  <c r="BT65" i="2"/>
  <c r="E117" i="2"/>
  <c r="H110" i="2"/>
  <c r="BL55" i="2"/>
  <c r="G119" i="2"/>
  <c r="I114" i="2"/>
  <c r="G105" i="2"/>
  <c r="BS60" i="2"/>
  <c r="BP67" i="2"/>
  <c r="H105" i="2"/>
  <c r="E112" i="2"/>
  <c r="BM55" i="2"/>
  <c r="BQ56" i="2"/>
  <c r="F120" i="2"/>
  <c r="C47" i="5"/>
  <c r="C41" i="5"/>
  <c r="I12" i="3"/>
  <c r="I14" i="3" s="1"/>
  <c r="J7" i="2"/>
  <c r="C40" i="5" s="1"/>
  <c r="C21" i="3"/>
  <c r="C12" i="3"/>
  <c r="C13" i="3" s="1"/>
  <c r="C15" i="3" s="1"/>
  <c r="C28" i="3" s="1"/>
  <c r="C59" i="5"/>
  <c r="B4" i="6"/>
  <c r="C33" i="4"/>
  <c r="C102" i="4" s="1"/>
  <c r="C20" i="4"/>
  <c r="C28" i="4" s="1"/>
  <c r="J5" i="2"/>
  <c r="G50" i="4" s="1"/>
  <c r="G51" i="4" s="1"/>
  <c r="I27" i="3"/>
  <c r="I26" i="3"/>
  <c r="I16" i="3"/>
  <c r="I17" i="3" s="1"/>
  <c r="I28" i="3"/>
  <c r="I30" i="3"/>
  <c r="C29" i="3" l="1"/>
  <c r="C30" i="3" s="1"/>
  <c r="K134" i="2"/>
  <c r="J132" i="2"/>
  <c r="K128" i="2"/>
  <c r="D140" i="2"/>
  <c r="J142" i="2"/>
  <c r="J127" i="2"/>
  <c r="C128" i="2"/>
  <c r="K132" i="2"/>
  <c r="E146" i="2"/>
  <c r="C127" i="2"/>
  <c r="K131" i="2"/>
  <c r="D145" i="2"/>
  <c r="F144" i="2"/>
  <c r="J139" i="2"/>
  <c r="E135" i="2"/>
  <c r="D138" i="2"/>
  <c r="G144" i="2"/>
  <c r="D130" i="2"/>
  <c r="H142" i="2"/>
  <c r="K135" i="2"/>
  <c r="G135" i="2"/>
  <c r="I134" i="2"/>
  <c r="J135" i="2"/>
  <c r="G138" i="2"/>
  <c r="C142" i="2"/>
  <c r="J131" i="2"/>
  <c r="C141" i="2"/>
  <c r="E140" i="2"/>
  <c r="H143" i="2"/>
  <c r="G140" i="2"/>
  <c r="M128" i="2"/>
  <c r="J128" i="2"/>
  <c r="G131" i="2"/>
  <c r="I130" i="2"/>
  <c r="G142" i="2"/>
  <c r="K127" i="2"/>
  <c r="J129" i="2"/>
  <c r="F145" i="2"/>
  <c r="G127" i="2"/>
  <c r="E142" i="2"/>
  <c r="J9" i="2"/>
  <c r="J10" i="2" s="1"/>
  <c r="B166" i="9" s="1"/>
  <c r="B169" i="9" s="1"/>
  <c r="F127" i="2"/>
  <c r="H139" i="2"/>
  <c r="C133" i="2"/>
  <c r="G136" i="2"/>
  <c r="C140" i="2"/>
  <c r="G129" i="2"/>
  <c r="F142" i="2"/>
  <c r="K141" i="2"/>
  <c r="H137" i="2"/>
  <c r="M145" i="2"/>
  <c r="M146" i="2"/>
  <c r="M133" i="2"/>
  <c r="M136" i="2"/>
  <c r="M144" i="2"/>
  <c r="M129" i="2"/>
  <c r="M135" i="2"/>
  <c r="M127" i="2"/>
  <c r="M131" i="2"/>
  <c r="M143" i="2"/>
  <c r="M142" i="2"/>
  <c r="H140" i="2"/>
  <c r="I143" i="2"/>
  <c r="C132" i="2"/>
  <c r="F141" i="2"/>
  <c r="M139" i="2"/>
  <c r="M138" i="2"/>
  <c r="F128" i="2"/>
  <c r="J140" i="2"/>
  <c r="H134" i="2"/>
  <c r="E128" i="2"/>
  <c r="I140" i="2"/>
  <c r="K130" i="2"/>
  <c r="D136" i="2"/>
  <c r="J138" i="2"/>
  <c r="M141" i="2"/>
  <c r="M137" i="2"/>
  <c r="M134" i="2"/>
  <c r="I137" i="2"/>
  <c r="C145" i="2"/>
  <c r="F138" i="2"/>
  <c r="H144" i="2"/>
  <c r="I127" i="2"/>
  <c r="M132" i="2"/>
  <c r="M140" i="2"/>
  <c r="M130" i="2"/>
  <c r="E127" i="2"/>
  <c r="H130" i="2"/>
  <c r="K129" i="2"/>
  <c r="I146" i="2"/>
  <c r="C129" i="2"/>
  <c r="K144" i="2"/>
  <c r="F129" i="2"/>
  <c r="J141" i="2"/>
  <c r="I138" i="2"/>
  <c r="D139" i="2"/>
  <c r="H146" i="2"/>
  <c r="F133" i="2"/>
  <c r="E130" i="2"/>
  <c r="D134" i="2"/>
  <c r="H128" i="2"/>
  <c r="C143" i="2"/>
  <c r="F143" i="2"/>
  <c r="J136" i="2"/>
  <c r="D137" i="2"/>
  <c r="H131" i="2"/>
  <c r="H135" i="2"/>
  <c r="G132" i="2"/>
  <c r="J145" i="2"/>
  <c r="I142" i="2"/>
  <c r="E145" i="2"/>
  <c r="D142" i="2"/>
  <c r="D141" i="2"/>
  <c r="K146" i="2"/>
  <c r="C139" i="2"/>
  <c r="G134" i="2"/>
  <c r="C138" i="2"/>
  <c r="E133" i="2"/>
  <c r="I145" i="2"/>
  <c r="H132" i="2"/>
  <c r="G139" i="2"/>
  <c r="C131" i="2"/>
  <c r="G145" i="2"/>
  <c r="H138" i="2"/>
  <c r="E144" i="2"/>
  <c r="H133" i="2"/>
  <c r="G143" i="2"/>
  <c r="F146" i="2"/>
  <c r="H127" i="2"/>
  <c r="K145" i="2"/>
  <c r="C135" i="2"/>
  <c r="J134" i="2"/>
  <c r="F135" i="2"/>
  <c r="I128" i="2"/>
  <c r="E143" i="2"/>
  <c r="E141" i="2"/>
  <c r="I131" i="2"/>
  <c r="C136" i="2"/>
  <c r="G130" i="2"/>
  <c r="I136" i="2"/>
  <c r="K142" i="2"/>
  <c r="L127" i="2"/>
  <c r="K139" i="2"/>
  <c r="G146" i="2"/>
  <c r="C134" i="2"/>
  <c r="G141" i="2"/>
  <c r="E129" i="2"/>
  <c r="F132" i="2"/>
  <c r="J144" i="2"/>
  <c r="F131" i="2"/>
  <c r="J143" i="2"/>
  <c r="G133" i="2"/>
  <c r="F137" i="2"/>
  <c r="D129" i="2"/>
  <c r="H141" i="2"/>
  <c r="H136" i="2"/>
  <c r="E134" i="2"/>
  <c r="I139" i="2"/>
  <c r="I133" i="2"/>
  <c r="C144" i="2"/>
  <c r="K136" i="2"/>
  <c r="D131" i="2"/>
  <c r="D146" i="2"/>
  <c r="C137" i="2"/>
  <c r="E132" i="2"/>
  <c r="I144" i="2"/>
  <c r="F130" i="2"/>
  <c r="J133" i="2"/>
  <c r="K143" i="2"/>
  <c r="D133" i="2"/>
  <c r="H145" i="2"/>
  <c r="K138" i="2"/>
  <c r="G128" i="2"/>
  <c r="K133" i="2"/>
  <c r="D144" i="2"/>
  <c r="G137" i="2"/>
  <c r="E137" i="2"/>
  <c r="F140" i="2"/>
  <c r="E138" i="2"/>
  <c r="F136" i="2"/>
  <c r="I129" i="2"/>
  <c r="E136" i="2"/>
  <c r="H129" i="2"/>
  <c r="C146" i="2"/>
  <c r="I141" i="2"/>
  <c r="J137" i="2"/>
  <c r="F139" i="2"/>
  <c r="I132" i="2"/>
  <c r="C130" i="2"/>
  <c r="K140" i="2"/>
  <c r="D135" i="2"/>
  <c r="D127" i="2"/>
  <c r="J130" i="2"/>
  <c r="D128" i="2"/>
  <c r="J146" i="2"/>
  <c r="E131" i="2"/>
  <c r="C22" i="3"/>
  <c r="C23" i="3" s="1"/>
  <c r="C36" i="5"/>
  <c r="C48" i="5"/>
  <c r="H8" i="6"/>
  <c r="E8" i="6"/>
  <c r="B8" i="6"/>
  <c r="H7" i="6"/>
  <c r="E7" i="6"/>
  <c r="B7" i="6"/>
  <c r="H10" i="6"/>
  <c r="E10" i="6"/>
  <c r="B10" i="6"/>
  <c r="H9" i="6"/>
  <c r="E9" i="6"/>
  <c r="B9" i="6"/>
  <c r="C101" i="4"/>
  <c r="C21" i="4"/>
  <c r="I31" i="3"/>
  <c r="I34" i="3" s="1"/>
  <c r="I35" i="3" s="1"/>
  <c r="B170" i="9" l="1"/>
  <c r="C59" i="4" s="1"/>
  <c r="F155" i="9"/>
  <c r="F151" i="9"/>
  <c r="F147" i="9"/>
  <c r="F143" i="9"/>
  <c r="B153" i="9"/>
  <c r="B152" i="9"/>
  <c r="B147" i="9"/>
  <c r="B151" i="9"/>
  <c r="F150" i="9"/>
  <c r="B154" i="9"/>
  <c r="B144" i="9"/>
  <c r="B143" i="9"/>
  <c r="F156" i="9"/>
  <c r="F148" i="9"/>
  <c r="B156" i="9"/>
  <c r="B150" i="9"/>
  <c r="F154" i="9"/>
  <c r="F146" i="9"/>
  <c r="B148" i="9"/>
  <c r="F152" i="9"/>
  <c r="F144" i="9"/>
  <c r="B146" i="9"/>
  <c r="F153" i="9"/>
  <c r="F149" i="9"/>
  <c r="F145" i="9"/>
  <c r="B155" i="9"/>
  <c r="B145" i="9"/>
  <c r="B149" i="9"/>
  <c r="C31" i="3"/>
  <c r="C33" i="3" s="1"/>
  <c r="C23" i="4"/>
  <c r="C100" i="4" s="1"/>
  <c r="B12" i="6"/>
  <c r="C60" i="5" s="1"/>
  <c r="C65" i="5" s="1"/>
  <c r="B78" i="5" s="1"/>
  <c r="E12" i="6"/>
  <c r="C61" i="5" s="1"/>
  <c r="H12" i="6"/>
  <c r="C62" i="5" s="1"/>
  <c r="C67" i="4" l="1"/>
  <c r="C68" i="4"/>
  <c r="C79" i="4"/>
  <c r="C65" i="4"/>
  <c r="C97" i="4"/>
  <c r="C66" i="4"/>
  <c r="C96" i="4"/>
  <c r="C40" i="4" s="1"/>
  <c r="C39" i="3"/>
  <c r="C40" i="3"/>
  <c r="C38" i="3"/>
  <c r="C64" i="5"/>
  <c r="C71" i="4" l="1"/>
  <c r="C104" i="4" s="1"/>
  <c r="C98" i="4"/>
  <c r="C81" i="4"/>
  <c r="C105" i="4" s="1"/>
  <c r="C86" i="4"/>
  <c r="C85" i="4"/>
  <c r="C42" i="4"/>
  <c r="C47" i="4" s="1"/>
  <c r="I38" i="3"/>
  <c r="I41" i="3"/>
  <c r="I44" i="3" s="1"/>
  <c r="I42" i="3" l="1"/>
  <c r="C55" i="5"/>
  <c r="C56" i="5" s="1"/>
  <c r="C57" i="5" s="1"/>
  <c r="C43" i="4"/>
  <c r="C44" i="4" s="1"/>
  <c r="C52" i="4" s="1"/>
  <c r="C103" i="4" s="1"/>
  <c r="C35" i="5"/>
  <c r="C37" i="5" s="1"/>
  <c r="C43" i="5" s="1"/>
  <c r="C49" i="4"/>
  <c r="C48" i="4"/>
  <c r="I39" i="3" l="1"/>
  <c r="C45" i="5"/>
  <c r="C50" i="5" s="1"/>
  <c r="C51" i="5" s="1"/>
  <c r="C68" i="5" s="1"/>
  <c r="B76" i="5"/>
  <c r="C45" i="4"/>
  <c r="C50" i="4" s="1"/>
  <c r="C84" i="4" s="1"/>
  <c r="B77" i="5" l="1"/>
  <c r="C87" i="4"/>
  <c r="C77" i="5" l="1"/>
  <c r="C70" i="5"/>
  <c r="C71" i="5" s="1"/>
  <c r="C78" i="5"/>
  <c r="C76" i="5"/>
  <c r="C69" i="5"/>
  <c r="C89" i="4"/>
  <c r="C106" i="4" l="1"/>
  <c r="C92" i="4"/>
  <c r="C93" i="4" l="1"/>
  <c r="C94" i="4"/>
</calcChain>
</file>

<file path=xl/sharedStrings.xml><?xml version="1.0" encoding="utf-8"?>
<sst xmlns="http://schemas.openxmlformats.org/spreadsheetml/2006/main" count="735" uniqueCount="512">
  <si>
    <t>Aircraft parameters</t>
  </si>
  <si>
    <t>Flight parameters</t>
  </si>
  <si>
    <t>b</t>
  </si>
  <si>
    <t>S</t>
  </si>
  <si>
    <t>A</t>
  </si>
  <si>
    <t>MTOW</t>
  </si>
  <si>
    <t>phi</t>
  </si>
  <si>
    <t>OEW</t>
  </si>
  <si>
    <t>Engine parameters</t>
  </si>
  <si>
    <t>n_E</t>
  </si>
  <si>
    <t>BPR</t>
  </si>
  <si>
    <t>T_to</t>
  </si>
  <si>
    <t>OAPR</t>
  </si>
  <si>
    <t>n_stages</t>
  </si>
  <si>
    <t>n_shafts</t>
  </si>
  <si>
    <t>n_PAX</t>
  </si>
  <si>
    <t>kg</t>
  </si>
  <si>
    <t>M</t>
  </si>
  <si>
    <t>H</t>
  </si>
  <si>
    <t>H(ft)</t>
  </si>
  <si>
    <t>a</t>
  </si>
  <si>
    <t>T</t>
  </si>
  <si>
    <t>p</t>
  </si>
  <si>
    <t>rho</t>
  </si>
  <si>
    <t>m</t>
  </si>
  <si>
    <t>ft</t>
  </si>
  <si>
    <t>m/s</t>
  </si>
  <si>
    <t>K</t>
  </si>
  <si>
    <t>Pa</t>
  </si>
  <si>
    <t>N</t>
  </si>
  <si>
    <t>R</t>
  </si>
  <si>
    <t>km</t>
  </si>
  <si>
    <t>Tto</t>
  </si>
  <si>
    <t>kN</t>
  </si>
  <si>
    <t>TSFC</t>
  </si>
  <si>
    <t>kg/daN/h</t>
  </si>
  <si>
    <t>TET</t>
  </si>
  <si>
    <t>kg/N/s</t>
  </si>
  <si>
    <t>∆P/P</t>
  </si>
  <si>
    <t>Atmosphere</t>
  </si>
  <si>
    <t>Fuel consumption</t>
  </si>
  <si>
    <t>kg fuel/km flown/kg of aircraft</t>
  </si>
  <si>
    <t>L</t>
  </si>
  <si>
    <t>K/m</t>
  </si>
  <si>
    <t>φ</t>
  </si>
  <si>
    <t>γ</t>
  </si>
  <si>
    <t>θ</t>
  </si>
  <si>
    <t>χ</t>
  </si>
  <si>
    <t>Flight paramters</t>
  </si>
  <si>
    <t>Engine efficiency</t>
  </si>
  <si>
    <t>η inlet</t>
  </si>
  <si>
    <t>η fan</t>
  </si>
  <si>
    <t>η comp</t>
  </si>
  <si>
    <t>η turbine</t>
  </si>
  <si>
    <t>η nozzle</t>
  </si>
  <si>
    <t>η gas gen</t>
  </si>
  <si>
    <t>G</t>
  </si>
  <si>
    <t>Constants</t>
  </si>
  <si>
    <t>g</t>
  </si>
  <si>
    <t>T0</t>
  </si>
  <si>
    <t>p0</t>
  </si>
  <si>
    <t>rho0</t>
  </si>
  <si>
    <t>kg/m3</t>
  </si>
  <si>
    <t>T_t</t>
  </si>
  <si>
    <t>p_t</t>
  </si>
  <si>
    <t>rho_t</t>
  </si>
  <si>
    <t>a0</t>
  </si>
  <si>
    <t>m/s2</t>
  </si>
  <si>
    <t>H_ceiling</t>
  </si>
  <si>
    <t>Drag calculation</t>
  </si>
  <si>
    <t>Oswald factor</t>
  </si>
  <si>
    <t>e</t>
  </si>
  <si>
    <t>ke_f</t>
  </si>
  <si>
    <t>ke_d0</t>
  </si>
  <si>
    <t>ke_M</t>
  </si>
  <si>
    <t>e_theo</t>
  </si>
  <si>
    <t>lambda</t>
  </si>
  <si>
    <t>delta lambda</t>
  </si>
  <si>
    <t>f(lambda-delta lambda)</t>
  </si>
  <si>
    <t>Wave drag</t>
  </si>
  <si>
    <t>A_const</t>
  </si>
  <si>
    <t>B_const</t>
  </si>
  <si>
    <t>Mdd</t>
  </si>
  <si>
    <t>Mcrit</t>
  </si>
  <si>
    <t>M_opt</t>
  </si>
  <si>
    <t>Drag parameters</t>
  </si>
  <si>
    <t>kE</t>
  </si>
  <si>
    <t>E_max</t>
  </si>
  <si>
    <t>Cd0</t>
  </si>
  <si>
    <t>E</t>
  </si>
  <si>
    <t>Cd</t>
  </si>
  <si>
    <t>AEA1989a/b</t>
  </si>
  <si>
    <t>kINF</t>
  </si>
  <si>
    <t>Depreciation</t>
  </si>
  <si>
    <t>Pdelivery (est)</t>
  </si>
  <si>
    <t>Pdelivery</t>
  </si>
  <si>
    <t>Paf</t>
  </si>
  <si>
    <t>Pe</t>
  </si>
  <si>
    <t>Ps</t>
  </si>
  <si>
    <t>Ptotal</t>
  </si>
  <si>
    <t>Presidual</t>
  </si>
  <si>
    <t>Cp</t>
  </si>
  <si>
    <t>Interest</t>
  </si>
  <si>
    <t>Cint</t>
  </si>
  <si>
    <t>Insurance</t>
  </si>
  <si>
    <t>Kins</t>
  </si>
  <si>
    <t>Cins</t>
  </si>
  <si>
    <t>Fuel costs</t>
  </si>
  <si>
    <t>Pf (gallon)</t>
  </si>
  <si>
    <t>Pf (kg)</t>
  </si>
  <si>
    <t>Into-Plane-Differential</t>
  </si>
  <si>
    <t>Pf total</t>
  </si>
  <si>
    <t>Breguet factor cruise</t>
  </si>
  <si>
    <t>Mff</t>
  </si>
  <si>
    <t>mF,min</t>
  </si>
  <si>
    <t>mF,res</t>
  </si>
  <si>
    <t>R,altern</t>
  </si>
  <si>
    <t>Mff,alternate</t>
  </si>
  <si>
    <t>mF,altern</t>
  </si>
  <si>
    <t>Loiter</t>
  </si>
  <si>
    <t>mF</t>
  </si>
  <si>
    <t>Cf</t>
  </si>
  <si>
    <t>Maintenance costs</t>
  </si>
  <si>
    <t>nE</t>
  </si>
  <si>
    <t>mE,inst</t>
  </si>
  <si>
    <t>mAF</t>
  </si>
  <si>
    <t>Tt/o</t>
  </si>
  <si>
    <t>tf</t>
  </si>
  <si>
    <t>h</t>
  </si>
  <si>
    <t>k1</t>
  </si>
  <si>
    <t>k2</t>
  </si>
  <si>
    <t>k3</t>
  </si>
  <si>
    <t>k4</t>
  </si>
  <si>
    <t>tM,AF,f</t>
  </si>
  <si>
    <t>CM,M,AF,f</t>
  </si>
  <si>
    <t>tM,E,f</t>
  </si>
  <si>
    <t>CM,M,E,f</t>
  </si>
  <si>
    <t>Lm</t>
  </si>
  <si>
    <t>Cm</t>
  </si>
  <si>
    <t>Staff costs</t>
  </si>
  <si>
    <t>nCO</t>
  </si>
  <si>
    <t>PAX</t>
  </si>
  <si>
    <t>nCA</t>
  </si>
  <si>
    <t>LCO</t>
  </si>
  <si>
    <t>LCA</t>
  </si>
  <si>
    <t>tb</t>
  </si>
  <si>
    <t>Cc</t>
  </si>
  <si>
    <t>Fees and charges</t>
  </si>
  <si>
    <t>mPL</t>
  </si>
  <si>
    <t>CFEE,LD</t>
  </si>
  <si>
    <t>CFEE,NAV</t>
  </si>
  <si>
    <t>CFEE,GND</t>
  </si>
  <si>
    <t>Cfee</t>
  </si>
  <si>
    <t>Cdoc</t>
  </si>
  <si>
    <t>Overview</t>
  </si>
  <si>
    <t>Fuel</t>
  </si>
  <si>
    <t>Maintenance</t>
  </si>
  <si>
    <t>Staff</t>
  </si>
  <si>
    <t>Ua,f</t>
  </si>
  <si>
    <t>Uh,f</t>
  </si>
  <si>
    <t>AIC</t>
  </si>
  <si>
    <t>03 short</t>
  </si>
  <si>
    <t>03 long and CH4</t>
  </si>
  <si>
    <t>O3 S</t>
  </si>
  <si>
    <t>O3 L</t>
  </si>
  <si>
    <t>x1</t>
  </si>
  <si>
    <t>x2</t>
  </si>
  <si>
    <t>y1</t>
  </si>
  <si>
    <t>y2</t>
  </si>
  <si>
    <t>s</t>
  </si>
  <si>
    <t>EI_Nox</t>
  </si>
  <si>
    <t>kg/kg fuel</t>
  </si>
  <si>
    <t>kg/seat</t>
  </si>
  <si>
    <t>kg/km</t>
  </si>
  <si>
    <t>Mach number</t>
  </si>
  <si>
    <t>Altitude (m)</t>
  </si>
  <si>
    <t>Min value</t>
  </si>
  <si>
    <t>Max value</t>
  </si>
  <si>
    <t>Range</t>
  </si>
  <si>
    <t>m_Plmax</t>
  </si>
  <si>
    <t>kg fuel/km flown</t>
  </si>
  <si>
    <t>f</t>
  </si>
  <si>
    <t>V</t>
  </si>
  <si>
    <t>km/s</t>
  </si>
  <si>
    <t>kg/s</t>
  </si>
  <si>
    <t>delta</t>
  </si>
  <si>
    <t>theta</t>
  </si>
  <si>
    <t>r</t>
  </si>
  <si>
    <t>EI_NOx</t>
  </si>
  <si>
    <t>T/O</t>
  </si>
  <si>
    <t>C/O</t>
  </si>
  <si>
    <t>App</t>
  </si>
  <si>
    <t>Idle</t>
  </si>
  <si>
    <t>Beta</t>
  </si>
  <si>
    <t>Payload-Range Airbus A320 (Source: Airbus airport planning)</t>
  </si>
  <si>
    <t>p_v</t>
  </si>
  <si>
    <t>Hfactor</t>
  </si>
  <si>
    <t>g/kg fuel</t>
  </si>
  <si>
    <r>
      <t xml:space="preserve">Data from Engine Emissions Databank for </t>
    </r>
    <r>
      <rPr>
        <b/>
        <sz val="11"/>
        <color theme="1"/>
        <rFont val="Calibri"/>
        <family val="2"/>
        <scheme val="minor"/>
      </rPr>
      <t>CFM56-5B4</t>
    </r>
  </si>
  <si>
    <t>Case 1</t>
  </si>
  <si>
    <t>Case 2</t>
  </si>
  <si>
    <t>Case 3</t>
  </si>
  <si>
    <t>Case 4</t>
  </si>
  <si>
    <t>Aerodynamic efficiency E</t>
  </si>
  <si>
    <t>CF_AIC</t>
  </si>
  <si>
    <t>CF_NOx</t>
  </si>
  <si>
    <t>w_doc</t>
  </si>
  <si>
    <t>w_env</t>
  </si>
  <si>
    <t>Cs,m</t>
  </si>
  <si>
    <t>Seat-mile costs</t>
  </si>
  <si>
    <t>&gt;80kN</t>
  </si>
  <si>
    <t>&lt;16,5</t>
  </si>
  <si>
    <t>CL</t>
  </si>
  <si>
    <t>Block time</t>
  </si>
  <si>
    <t>Drag coefficient</t>
  </si>
  <si>
    <t>Boeing 2 method: EI_NOx calculation</t>
  </si>
  <si>
    <t>a_e</t>
  </si>
  <si>
    <t>Wave drag increment</t>
  </si>
  <si>
    <t>Induced drag</t>
  </si>
  <si>
    <t>Lift coefficient</t>
  </si>
  <si>
    <t>Weighting factor environmental</t>
  </si>
  <si>
    <t>w_resource</t>
  </si>
  <si>
    <t>w_co2</t>
  </si>
  <si>
    <t>n_dep</t>
  </si>
  <si>
    <t>pav</t>
  </si>
  <si>
    <t>m_e (one)</t>
  </si>
  <si>
    <t>shafts</t>
  </si>
  <si>
    <t>value</t>
  </si>
  <si>
    <t>reverse thrust</t>
  </si>
  <si>
    <t>yes</t>
  </si>
  <si>
    <t>no</t>
  </si>
  <si>
    <t>kthr</t>
  </si>
  <si>
    <t>tb-tf</t>
  </si>
  <si>
    <t>CC,co</t>
  </si>
  <si>
    <t>CC,ca</t>
  </si>
  <si>
    <t>Fuel consumption via payload range:</t>
  </si>
  <si>
    <t>SAR</t>
  </si>
  <si>
    <t>MTOW = 73500kg</t>
  </si>
  <si>
    <t>MTOW = 78000kg</t>
  </si>
  <si>
    <t>MZFW</t>
  </si>
  <si>
    <t>EI_CO2</t>
  </si>
  <si>
    <t>Take-off thrust (one engine)</t>
  </si>
  <si>
    <t>Bypass ratio</t>
  </si>
  <si>
    <t>Parameter</t>
  </si>
  <si>
    <t>Abbreviation</t>
  </si>
  <si>
    <t>Value</t>
  </si>
  <si>
    <t>Unit</t>
  </si>
  <si>
    <t>Comment</t>
  </si>
  <si>
    <t>TSFC Results</t>
  </si>
  <si>
    <t>Overall pressure ratio</t>
  </si>
  <si>
    <t>Turbine entry temperature</t>
  </si>
  <si>
    <t>Ambient temperature</t>
  </si>
  <si>
    <t>Altitude</t>
  </si>
  <si>
    <t>Inlet efficiency</t>
  </si>
  <si>
    <t>Fan efficiency</t>
  </si>
  <si>
    <t>Comp efficiency</t>
  </si>
  <si>
    <t>Turbine efficiency</t>
  </si>
  <si>
    <t>Nozzle efficiency</t>
  </si>
  <si>
    <t>Gas generator efficiency</t>
  </si>
  <si>
    <t>Thrust specific fuel consumption</t>
  </si>
  <si>
    <t>Wf_unadapted</t>
  </si>
  <si>
    <t>Wf_adapted</t>
  </si>
  <si>
    <t>Flight stage</t>
  </si>
  <si>
    <t>30min loiter time</t>
  </si>
  <si>
    <t>°</t>
  </si>
  <si>
    <t>rad</t>
  </si>
  <si>
    <t>phi (rad)</t>
  </si>
  <si>
    <t>DOC</t>
  </si>
  <si>
    <t>Everything year-based</t>
  </si>
  <si>
    <t>How to use this DOC tool?</t>
  </si>
  <si>
    <t>Total</t>
  </si>
  <si>
    <t>1) Enter the year of calculation (for k_INF)</t>
  </si>
  <si>
    <t>Inflation factor</t>
  </si>
  <si>
    <t>2) Select short/medium or long-range</t>
  </si>
  <si>
    <t>Long-range</t>
  </si>
  <si>
    <t>Short/medium-range</t>
  </si>
  <si>
    <t>3) Enter the current jet fuel price (per gallon)</t>
  </si>
  <si>
    <t>based on MTOW</t>
  </si>
  <si>
    <t>based on Npax</t>
  </si>
  <si>
    <t>based on take-off thrust</t>
  </si>
  <si>
    <t>Delivery price estimate</t>
  </si>
  <si>
    <t>Delivery price</t>
  </si>
  <si>
    <t>Airframe price</t>
  </si>
  <si>
    <t>Engine price</t>
  </si>
  <si>
    <t>Spare parts price</t>
  </si>
  <si>
    <t>Total price</t>
  </si>
  <si>
    <t>Residual price</t>
  </si>
  <si>
    <t>10% of total price</t>
  </si>
  <si>
    <t>Average interest rate</t>
  </si>
  <si>
    <t>Insurance rate</t>
  </si>
  <si>
    <t>Fuel price per gallon</t>
  </si>
  <si>
    <t>Fuel price per kg</t>
  </si>
  <si>
    <t>Fuel price total per kg</t>
  </si>
  <si>
    <t>Number of annual trips</t>
  </si>
  <si>
    <t>Mission fuel fraction</t>
  </si>
  <si>
    <t>Minimum fuel mass</t>
  </si>
  <si>
    <t>Reserve fuel mass</t>
  </si>
  <si>
    <t>Alternate range</t>
  </si>
  <si>
    <t>Mission fuel fraction, alternate</t>
  </si>
  <si>
    <t>nt,a</t>
  </si>
  <si>
    <t>Number of engines</t>
  </si>
  <si>
    <t>Mass of installed engines</t>
  </si>
  <si>
    <t>Take-off thrust</t>
  </si>
  <si>
    <t>Flight time</t>
  </si>
  <si>
    <t>based on BPR</t>
  </si>
  <si>
    <t>based on OAPR</t>
  </si>
  <si>
    <t>based on amount of stages</t>
  </si>
  <si>
    <t>based on amount of shafts</t>
  </si>
  <si>
    <t>Comment 2</t>
  </si>
  <si>
    <t>Engine price for CFM56-2A2 (2015): 8,75 million USD (as a comparison)</t>
  </si>
  <si>
    <t>Total fuel mass onboard</t>
  </si>
  <si>
    <t>Loiter fuel mass</t>
  </si>
  <si>
    <t>Alternate fuel mass</t>
  </si>
  <si>
    <t>Mass of the airframe</t>
  </si>
  <si>
    <t>hourly rate based on AEA1989a and b</t>
  </si>
  <si>
    <t>Airframe maintenance man hours</t>
  </si>
  <si>
    <t>Engine maintenance man hours</t>
  </si>
  <si>
    <t>per flight hour</t>
  </si>
  <si>
    <t>Emission index Nox (g/kg fuel)</t>
  </si>
  <si>
    <t>Comment/Unit</t>
  </si>
  <si>
    <t>Airframe material costs</t>
  </si>
  <si>
    <t>Engine material costs</t>
  </si>
  <si>
    <t>Labour rate</t>
  </si>
  <si>
    <t>Number of cockpit crew</t>
  </si>
  <si>
    <t>Number of passengers</t>
  </si>
  <si>
    <t>Number of cabin crew</t>
  </si>
  <si>
    <t>Mean hourly rate cockpit crew</t>
  </si>
  <si>
    <t>Mean hourly rate cabin crew</t>
  </si>
  <si>
    <t>Payload mass</t>
  </si>
  <si>
    <t>depends on fuel mass and max payload mass</t>
  </si>
  <si>
    <t>Landing fees</t>
  </si>
  <si>
    <t>Navigation/ATC fees</t>
  </si>
  <si>
    <t>Ground handling fees</t>
  </si>
  <si>
    <t>Annual cost per aircraft</t>
  </si>
  <si>
    <t>Aircraft utilization</t>
  </si>
  <si>
    <t>k_LD</t>
  </si>
  <si>
    <t>k_NAV</t>
  </si>
  <si>
    <t>k_GND</t>
  </si>
  <si>
    <t>Aircraft type</t>
  </si>
  <si>
    <t>P_MTOW</t>
  </si>
  <si>
    <t>based on range and MTOW</t>
  </si>
  <si>
    <t>based on payload mass</t>
  </si>
  <si>
    <t>k_U1</t>
  </si>
  <si>
    <t>k_U2</t>
  </si>
  <si>
    <t>Annual aircraft utilization</t>
  </si>
  <si>
    <t>hours</t>
  </si>
  <si>
    <t>Relative aircraft utilization</t>
  </si>
  <si>
    <t>4) Compare DOC at the bottom of the sheet</t>
  </si>
  <si>
    <t>Drag divergerce Mach number</t>
  </si>
  <si>
    <t>Critical Mach number</t>
  </si>
  <si>
    <t>Max. aerodynamic efficiency</t>
  </si>
  <si>
    <t>Zero lift drag</t>
  </si>
  <si>
    <t>Cind</t>
  </si>
  <si>
    <t>Aerodynamic efficiency</t>
  </si>
  <si>
    <t>Theorectical Oswald factor</t>
  </si>
  <si>
    <t>Fuselage correction factor</t>
  </si>
  <si>
    <t>Viscous drag correction factor</t>
  </si>
  <si>
    <t>Compressibilty effect correction factor</t>
  </si>
  <si>
    <t>CO2 mass emitted</t>
  </si>
  <si>
    <t>How to use this environmental sheet?</t>
  </si>
  <si>
    <t>fill in trendline function</t>
  </si>
  <si>
    <t>Environmental impact</t>
  </si>
  <si>
    <t>Equivalent CO2 mass</t>
  </si>
  <si>
    <t>1) The unadapted fuel flow and EI_NOx values for T/O, C/O, App and Idle must be taken from ICAO 2019</t>
  </si>
  <si>
    <t xml:space="preserve">    for the appropriate engine and filled in in the following table (green columns)</t>
  </si>
  <si>
    <t>True airspeed</t>
  </si>
  <si>
    <t>Uncorrected fuel flow</t>
  </si>
  <si>
    <t>Relative pressure</t>
  </si>
  <si>
    <t>Relative temperature</t>
  </si>
  <si>
    <t>Corrected fuel flow</t>
  </si>
  <si>
    <t>Emission index NOx (graph)</t>
  </si>
  <si>
    <t>EI_NOx (graph)</t>
  </si>
  <si>
    <t>Humidity correction factor</t>
  </si>
  <si>
    <t>Emission index NOx</t>
  </si>
  <si>
    <t>Emission index CO2</t>
  </si>
  <si>
    <t>Altitude (ft)</t>
  </si>
  <si>
    <t>s_AIC</t>
  </si>
  <si>
    <t>s_O3 S</t>
  </si>
  <si>
    <t>s_O3 L</t>
  </si>
  <si>
    <t>mCO2</t>
  </si>
  <si>
    <t>Forcing factor aircraft induced cloudiness</t>
  </si>
  <si>
    <t>Forcing factor ozone short</t>
  </si>
  <si>
    <t>Forcing factor ozone long</t>
  </si>
  <si>
    <t>Fuel mass used</t>
  </si>
  <si>
    <t>mCO2,eq</t>
  </si>
  <si>
    <t>Mission segment fuel fractions based on NITA 2013</t>
  </si>
  <si>
    <t>rates based on AEA1989</t>
  </si>
  <si>
    <t>based on Ua,f and flight time</t>
  </si>
  <si>
    <t>Best approx int he A320 case</t>
  </si>
  <si>
    <t>Based on reverse thrust (among others):</t>
  </si>
  <si>
    <t>Weighting factors combined model</t>
  </si>
  <si>
    <t>Engine paramter or formula:</t>
  </si>
  <si>
    <t>Plausible input</t>
  </si>
  <si>
    <t>0,0266785*T_to*10^-3+3,5158*BPR+0,0556628</t>
  </si>
  <si>
    <t>Based on take-off thrust or if known as a user input</t>
  </si>
  <si>
    <t>Inlet pressure loss</t>
  </si>
  <si>
    <t>Temperatur change in troposphere</t>
  </si>
  <si>
    <t>Dimensionless turbine entry temp.</t>
  </si>
  <si>
    <t>Ratio of specific heats for air</t>
  </si>
  <si>
    <t>Temperature function</t>
  </si>
  <si>
    <t>Gas generator function</t>
  </si>
  <si>
    <t>Ratio of stagnation point temp. and ambient temp.</t>
  </si>
  <si>
    <t>Beta factor</t>
  </si>
  <si>
    <t>p_v factor</t>
  </si>
  <si>
    <t>Flight time (in hours)</t>
  </si>
  <si>
    <t>NM/kg</t>
  </si>
  <si>
    <t>kg/NM</t>
  </si>
  <si>
    <t>Equivalent CO2 mass (kg) per NM flown, per seat</t>
  </si>
  <si>
    <t>kg fuel/NM flown/kg of aircraft</t>
  </si>
  <si>
    <t>kg fuel/NM flown</t>
  </si>
  <si>
    <t>Range in km and NM</t>
  </si>
  <si>
    <t>NM</t>
  </si>
  <si>
    <t>250NM alternate distance</t>
  </si>
  <si>
    <t>knots</t>
  </si>
  <si>
    <t>CFM56-5B4 engine used</t>
  </si>
  <si>
    <t>based on 1 crew member per 50 pax</t>
  </si>
  <si>
    <t>Wing loading</t>
  </si>
  <si>
    <t>R_doc</t>
  </si>
  <si>
    <t>Mlimit</t>
  </si>
  <si>
    <t>M_mo</t>
  </si>
  <si>
    <t>Limiting Mach number for the calculation method</t>
  </si>
  <si>
    <t>Correction factor for ke_M</t>
  </si>
  <si>
    <t>Trip cost</t>
  </si>
  <si>
    <t>kg CO2/NM/seat</t>
  </si>
  <si>
    <t>Characterization factor for NOx</t>
  </si>
  <si>
    <t>Characterization factor for AIC</t>
  </si>
  <si>
    <t>Annual DOC</t>
  </si>
  <si>
    <t>Daily aircraft utilization</t>
  </si>
  <si>
    <t>Ud,f</t>
  </si>
  <si>
    <t>h/day</t>
  </si>
  <si>
    <t>Environmental impact per NM flown per seat (normalized between 0 and 1)</t>
  </si>
  <si>
    <t>Fuel consumption normalized between 0 and 1</t>
  </si>
  <si>
    <t>Seat-mile costs normalized between 0 and 1</t>
  </si>
  <si>
    <t>Flight time (h)</t>
  </si>
  <si>
    <t>Annual DOC per aircraft ($)</t>
  </si>
  <si>
    <t>Linear interpolation forcing factors</t>
  </si>
  <si>
    <t>m2</t>
  </si>
  <si>
    <t>kg/m2</t>
  </si>
  <si>
    <t>Cd (0,4M)</t>
  </si>
  <si>
    <t>Cd (0,5M)</t>
  </si>
  <si>
    <t>Cd (0,6M)</t>
  </si>
  <si>
    <t>Cd (0,7M)</t>
  </si>
  <si>
    <t>Cd (0,8M)</t>
  </si>
  <si>
    <t>Constant</t>
  </si>
  <si>
    <t>Seat-mile cost ($)</t>
  </si>
  <si>
    <t>C02</t>
  </si>
  <si>
    <t>NOx</t>
  </si>
  <si>
    <t>Corrected fuel flow (kg/s)</t>
  </si>
  <si>
    <t>H (m)</t>
  </si>
  <si>
    <t>TAS</t>
  </si>
  <si>
    <t>CO2</t>
  </si>
  <si>
    <t>Individual weight of parameters in mCO2,eq equation</t>
  </si>
  <si>
    <t>Fuel consumption in kg of fuel per NM flown and per kg of aircraft MTOW</t>
  </si>
  <si>
    <t xml:space="preserve"> official Airbus 2018 listing price for the A320</t>
  </si>
  <si>
    <t>2) The trendline function from the accompanying graph should be filled in in cell C45, substituting 'x' with cell C43</t>
  </si>
  <si>
    <t>Climb</t>
  </si>
  <si>
    <t>avg annual inflation 1990-2017 = 2,5547%</t>
  </si>
  <si>
    <t>Drag components</t>
  </si>
  <si>
    <t>C_dw</t>
  </si>
  <si>
    <t>kg fuel/100km flown/seat</t>
  </si>
  <si>
    <t>Statistics</t>
  </si>
  <si>
    <t>Max. aerodynamic efficiency factor</t>
  </si>
  <si>
    <t>Wave drag included?</t>
  </si>
  <si>
    <t>Thrust specific fuel consumption (kg fuel/N/s)</t>
  </si>
  <si>
    <t>Wf (uncorrected)</t>
  </si>
  <si>
    <t>Wff (corrected)</t>
  </si>
  <si>
    <t>Equivalent CO2 mass emitted</t>
  </si>
  <si>
    <t>Airbus A320-200</t>
  </si>
  <si>
    <t>normally $0,05/kg, but already included in fuel price (FOB) in this case</t>
  </si>
  <si>
    <t>Bf</t>
  </si>
  <si>
    <t>FL</t>
  </si>
  <si>
    <t>ROC</t>
  </si>
  <si>
    <t>ROD</t>
  </si>
  <si>
    <t>Descent</t>
  </si>
  <si>
    <t>Boeing 737-200 BADA</t>
  </si>
  <si>
    <t>B747-400 BADA</t>
  </si>
  <si>
    <t>Airbus A320 BADA</t>
  </si>
  <si>
    <t>Airbus A340 BADA</t>
  </si>
  <si>
    <t xml:space="preserve"> </t>
  </si>
  <si>
    <t>Approximation ROC/ROD</t>
  </si>
  <si>
    <t>Model</t>
  </si>
  <si>
    <t>Forcing factor</t>
  </si>
  <si>
    <t xml:space="preserve">Forcing factor </t>
  </si>
  <si>
    <t>added time</t>
  </si>
  <si>
    <t>Flight level</t>
  </si>
  <si>
    <t>This table lists all altering parameters when choosing short-/medium- or long-range</t>
  </si>
  <si>
    <t>added distance</t>
  </si>
  <si>
    <t>Difference</t>
  </si>
  <si>
    <t>Flight time calculated in 'Flight time' sheet</t>
  </si>
  <si>
    <t>Regulated speed under FL100</t>
  </si>
  <si>
    <t>km/h</t>
  </si>
  <si>
    <t>Mach</t>
  </si>
  <si>
    <t>Seat-mile cost</t>
  </si>
  <si>
    <t>Simple eq.</t>
  </si>
  <si>
    <t>All measurements at 11 000 m</t>
  </si>
  <si>
    <t>Airbus A320-200 drag polar</t>
  </si>
  <si>
    <t>Linear interpolation for forcing factors on 'Extra information' sheet</t>
  </si>
  <si>
    <t>Combined values</t>
  </si>
  <si>
    <t>Contour plots must be enlarged!</t>
  </si>
  <si>
    <t>is free software: you can redistribute it and/or modify it</t>
  </si>
  <si>
    <t>under the terms of the GNU General Public License as published by</t>
  </si>
  <si>
    <t>the Free Software Foundation, License Version 3.</t>
  </si>
  <si>
    <t>but WITHOUT ANY WARRANTY; without even the implied warranty of</t>
  </si>
  <si>
    <t>MERCHANTABILITY or FITNESS FOR A PARTICULAR PURPOSE.</t>
  </si>
  <si>
    <t>See the GNU General Public License for more details.</t>
  </si>
  <si>
    <t xml:space="preserve">http://www.gnu.org/licenses/ </t>
  </si>
  <si>
    <t>Copyright © 2019</t>
  </si>
  <si>
    <t>Brecht Caers</t>
  </si>
  <si>
    <t>The spreadsheet for the Master Thesis</t>
  </si>
  <si>
    <t xml:space="preserve"> Direct Operating Costs and Environmental Impact"</t>
  </si>
  <si>
    <t>The spreadsheet is distributed in the hope that it will be useful,</t>
  </si>
  <si>
    <r>
      <t xml:space="preserve">"Conditions for </t>
    </r>
    <r>
      <rPr>
        <b/>
        <sz val="10"/>
        <color indexed="8"/>
        <rFont val="Arial Unicode MS"/>
        <family val="2"/>
      </rPr>
      <t>Passenger Aircraft Minimum Fuel</t>
    </r>
    <r>
      <rPr>
        <sz val="10"/>
        <color indexed="8"/>
        <rFont val="Arial Unicode MS"/>
        <family val="2"/>
      </rPr>
      <t xml:space="preserve"> Consumption,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</si>
</sst>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$-409]#,##0.00"/>
    <numFmt numFmtId="165" formatCode="0.0000"/>
    <numFmt numFmtId="166" formatCode="0.0"/>
    <numFmt numFmtId="167" formatCode="[$$-409]#,##0.000"/>
    <numFmt numFmtId="168" formatCode="0.000000"/>
    <numFmt numFmtId="169" formatCode="0.000"/>
    <numFmt numFmtId="170" formatCode="0.00000"/>
    <numFmt numFmtId="171" formatCode="0.0E+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Times New Roman"/>
      <family val="1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0"/>
      <color indexed="8"/>
      <name val="Arial Unicode MS"/>
      <family val="2"/>
    </font>
    <font>
      <u/>
      <sz val="10"/>
      <color theme="10"/>
      <name val="Arial"/>
      <family val="2"/>
    </font>
    <font>
      <u/>
      <sz val="11"/>
      <color indexed="12"/>
      <name val="Calibri"/>
      <family val="2"/>
    </font>
    <font>
      <b/>
      <sz val="10"/>
      <color indexed="8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2" fontId="0" fillId="0" borderId="0" xfId="0" applyNumberFormat="1"/>
    <xf numFmtId="0" fontId="4" fillId="0" borderId="0" xfId="0" applyFont="1"/>
    <xf numFmtId="9" fontId="0" fillId="0" borderId="0" xfId="0" applyNumberFormat="1"/>
    <xf numFmtId="0" fontId="3" fillId="0" borderId="0" xfId="0" applyFont="1" applyFill="1"/>
    <xf numFmtId="2" fontId="0" fillId="0" borderId="0" xfId="0" applyNumberFormat="1" applyFill="1"/>
    <xf numFmtId="0" fontId="0" fillId="0" borderId="0" xfId="0" applyNumberFormat="1" applyFill="1"/>
    <xf numFmtId="164" fontId="0" fillId="0" borderId="0" xfId="0" applyNumberFormat="1"/>
    <xf numFmtId="164" fontId="0" fillId="3" borderId="0" xfId="0" applyNumberFormat="1" applyFill="1"/>
    <xf numFmtId="164" fontId="0" fillId="4" borderId="0" xfId="0" applyNumberFormat="1" applyFill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6" fontId="0" fillId="0" borderId="0" xfId="0" applyNumberFormat="1"/>
    <xf numFmtId="11" fontId="0" fillId="0" borderId="0" xfId="0" applyNumberFormat="1"/>
    <xf numFmtId="4" fontId="0" fillId="0" borderId="0" xfId="0" applyNumberFormat="1"/>
    <xf numFmtId="0" fontId="0" fillId="0" borderId="0" xfId="0" applyFill="1"/>
    <xf numFmtId="166" fontId="0" fillId="0" borderId="0" xfId="0" applyNumberFormat="1"/>
    <xf numFmtId="164" fontId="0" fillId="0" borderId="0" xfId="0" applyNumberFormat="1" applyFill="1"/>
    <xf numFmtId="0" fontId="5" fillId="0" borderId="0" xfId="0" applyFont="1"/>
    <xf numFmtId="0" fontId="0" fillId="3" borderId="0" xfId="0" applyFill="1"/>
    <xf numFmtId="0" fontId="2" fillId="2" borderId="0" xfId="0" applyFont="1" applyFill="1"/>
    <xf numFmtId="0" fontId="5" fillId="0" borderId="0" xfId="0" applyFont="1" applyFill="1"/>
    <xf numFmtId="1" fontId="0" fillId="0" borderId="0" xfId="0" applyNumberFormat="1" applyFill="1"/>
    <xf numFmtId="0" fontId="0" fillId="6" borderId="0" xfId="0" applyFill="1"/>
    <xf numFmtId="165" fontId="0" fillId="3" borderId="0" xfId="0" applyNumberFormat="1" applyFill="1"/>
    <xf numFmtId="0" fontId="0" fillId="0" borderId="0" xfId="0" applyAlignment="1">
      <alignment horizontal="center"/>
    </xf>
    <xf numFmtId="0" fontId="5" fillId="0" borderId="0" xfId="0" applyFont="1" applyAlignment="1"/>
    <xf numFmtId="0" fontId="2" fillId="0" borderId="0" xfId="0" applyFont="1" applyFill="1"/>
    <xf numFmtId="0" fontId="0" fillId="0" borderId="0" xfId="0" applyAlignment="1"/>
    <xf numFmtId="0" fontId="0" fillId="8" borderId="0" xfId="0" applyFill="1"/>
    <xf numFmtId="167" fontId="0" fillId="0" borderId="0" xfId="0" applyNumberFormat="1"/>
    <xf numFmtId="0" fontId="2" fillId="0" borderId="0" xfId="0" quotePrefix="1" applyFont="1"/>
    <xf numFmtId="168" fontId="0" fillId="0" borderId="0" xfId="0" applyNumberFormat="1"/>
    <xf numFmtId="169" fontId="0" fillId="0" borderId="0" xfId="0" applyNumberFormat="1"/>
    <xf numFmtId="0" fontId="3" fillId="0" borderId="0" xfId="0" applyFont="1"/>
    <xf numFmtId="0" fontId="0" fillId="0" borderId="0" xfId="0" applyFont="1"/>
    <xf numFmtId="0" fontId="7" fillId="0" borderId="0" xfId="0" applyFont="1"/>
    <xf numFmtId="2" fontId="0" fillId="3" borderId="0" xfId="0" applyNumberFormat="1" applyFill="1"/>
    <xf numFmtId="0" fontId="8" fillId="0" borderId="0" xfId="0" applyFont="1"/>
    <xf numFmtId="2" fontId="8" fillId="0" borderId="0" xfId="0" applyNumberFormat="1" applyFont="1"/>
    <xf numFmtId="0" fontId="9" fillId="0" borderId="0" xfId="0" applyFont="1"/>
    <xf numFmtId="0" fontId="7" fillId="0" borderId="0" xfId="0" applyFont="1" applyFill="1"/>
    <xf numFmtId="2" fontId="0" fillId="4" borderId="0" xfId="0" applyNumberFormat="1" applyFill="1"/>
    <xf numFmtId="0" fontId="2" fillId="6" borderId="0" xfId="0" applyFont="1" applyFill="1"/>
    <xf numFmtId="164" fontId="0" fillId="6" borderId="0" xfId="0" applyNumberFormat="1" applyFill="1"/>
    <xf numFmtId="2" fontId="0" fillId="6" borderId="0" xfId="0" applyNumberFormat="1" applyFill="1"/>
    <xf numFmtId="0" fontId="2" fillId="9" borderId="0" xfId="0" applyFont="1" applyFill="1"/>
    <xf numFmtId="164" fontId="2" fillId="9" borderId="0" xfId="0" applyNumberFormat="1" applyFont="1" applyFill="1"/>
    <xf numFmtId="0" fontId="2" fillId="9" borderId="0" xfId="0" applyNumberFormat="1" applyFont="1" applyFill="1"/>
    <xf numFmtId="0" fontId="10" fillId="6" borderId="0" xfId="0" applyFont="1" applyFill="1"/>
    <xf numFmtId="0" fontId="1" fillId="0" borderId="0" xfId="0" applyFont="1" applyFill="1"/>
    <xf numFmtId="0" fontId="11" fillId="0" borderId="0" xfId="0" applyFont="1"/>
    <xf numFmtId="164" fontId="11" fillId="0" borderId="0" xfId="0" applyNumberFormat="1" applyFont="1"/>
    <xf numFmtId="0" fontId="13" fillId="6" borderId="0" xfId="0" applyFont="1" applyFill="1"/>
    <xf numFmtId="0" fontId="2" fillId="0" borderId="0" xfId="0" applyFont="1" applyFill="1" applyAlignment="1"/>
    <xf numFmtId="1" fontId="0" fillId="0" borderId="0" xfId="0" applyNumberFormat="1"/>
    <xf numFmtId="0" fontId="1" fillId="0" borderId="0" xfId="0" applyNumberFormat="1" applyFont="1"/>
    <xf numFmtId="0" fontId="12" fillId="9" borderId="0" xfId="0" applyFont="1" applyFill="1"/>
    <xf numFmtId="2" fontId="0" fillId="0" borderId="0" xfId="0" applyNumberFormat="1" applyFont="1"/>
    <xf numFmtId="169" fontId="0" fillId="0" borderId="0" xfId="0" applyNumberFormat="1" applyFont="1"/>
    <xf numFmtId="11" fontId="0" fillId="0" borderId="0" xfId="0" applyNumberFormat="1" applyFont="1"/>
    <xf numFmtId="2" fontId="0" fillId="0" borderId="0" xfId="0" applyNumberFormat="1" applyFont="1" applyFill="1"/>
    <xf numFmtId="170" fontId="0" fillId="0" borderId="0" xfId="0" applyNumberFormat="1" applyFont="1"/>
    <xf numFmtId="170" fontId="0" fillId="0" borderId="0" xfId="0" applyNumberFormat="1"/>
    <xf numFmtId="2" fontId="12" fillId="9" borderId="0" xfId="0" applyNumberFormat="1" applyFont="1" applyFill="1"/>
    <xf numFmtId="2" fontId="8" fillId="0" borderId="0" xfId="0" applyNumberFormat="1" applyFont="1" applyFill="1"/>
    <xf numFmtId="0" fontId="2" fillId="9" borderId="0" xfId="0" applyFont="1" applyFill="1" applyAlignment="1">
      <alignment horizontal="right" vertical="center"/>
    </xf>
    <xf numFmtId="0" fontId="8" fillId="0" borderId="0" xfId="0" applyFont="1" applyFill="1"/>
    <xf numFmtId="0" fontId="0" fillId="0" borderId="0" xfId="0" applyFont="1" applyFill="1"/>
    <xf numFmtId="0" fontId="14" fillId="0" borderId="0" xfId="0" applyFont="1"/>
    <xf numFmtId="0" fontId="2" fillId="9" borderId="0" xfId="0" applyFont="1" applyFill="1" applyAlignment="1">
      <alignment horizontal="right"/>
    </xf>
    <xf numFmtId="0" fontId="0" fillId="4" borderId="0" xfId="0" applyNumberFormat="1" applyFill="1"/>
    <xf numFmtId="10" fontId="0" fillId="0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7" fillId="6" borderId="0" xfId="0" applyFont="1" applyFill="1"/>
    <xf numFmtId="164" fontId="0" fillId="5" borderId="0" xfId="0" applyNumberFormat="1" applyFill="1"/>
    <xf numFmtId="169" fontId="0" fillId="3" borderId="0" xfId="0" applyNumberFormat="1" applyFill="1"/>
    <xf numFmtId="165" fontId="0" fillId="4" borderId="0" xfId="0" applyNumberFormat="1" applyFill="1"/>
    <xf numFmtId="0" fontId="0" fillId="0" borderId="0" xfId="0" applyAlignment="1">
      <alignment vertical="center" textRotation="90"/>
    </xf>
    <xf numFmtId="0" fontId="15" fillId="0" borderId="0" xfId="0" applyFont="1"/>
    <xf numFmtId="0" fontId="0" fillId="0" borderId="0" xfId="0" applyFill="1" applyAlignment="1"/>
    <xf numFmtId="2" fontId="3" fillId="0" borderId="0" xfId="0" applyNumberFormat="1" applyFont="1" applyFill="1"/>
    <xf numFmtId="170" fontId="0" fillId="3" borderId="0" xfId="0" applyNumberFormat="1" applyFill="1"/>
    <xf numFmtId="10" fontId="1" fillId="0" borderId="0" xfId="0" applyNumberFormat="1" applyFont="1"/>
    <xf numFmtId="11" fontId="1" fillId="0" borderId="0" xfId="0" applyNumberFormat="1" applyFont="1"/>
    <xf numFmtId="0" fontId="17" fillId="10" borderId="0" xfId="0" applyFont="1" applyFill="1"/>
    <xf numFmtId="0" fontId="0" fillId="10" borderId="0" xfId="0" applyFill="1"/>
    <xf numFmtId="0" fontId="18" fillId="10" borderId="0" xfId="0" applyFont="1" applyFill="1"/>
    <xf numFmtId="0" fontId="20" fillId="10" borderId="0" xfId="1" applyFont="1" applyFill="1" applyAlignment="1" applyProtection="1"/>
    <xf numFmtId="171" fontId="0" fillId="3" borderId="0" xfId="0" applyNumberFormat="1" applyFill="1"/>
    <xf numFmtId="171" fontId="0" fillId="0" borderId="0" xfId="0" applyNumberFormat="1" applyFill="1"/>
    <xf numFmtId="0" fontId="0" fillId="0" borderId="0" xfId="0" applyFill="1" applyAlignment="1">
      <alignment horizontal="center" vertical="center" textRotation="90"/>
    </xf>
    <xf numFmtId="0" fontId="0" fillId="0" borderId="0" xfId="0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3">
    <dxf>
      <font>
        <b/>
      </font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theme="2"/>
        </patternFill>
      </fill>
    </dxf>
    <dxf>
      <font>
        <b/>
      </font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615586525278904E-2"/>
          <c:y val="3.3759585353994745E-2"/>
          <c:w val="0.89173750699860421"/>
          <c:h val="0.71257229191094218"/>
        </c:manualLayout>
      </c:layout>
      <c:surface3DChart>
        <c:wireframe val="1"/>
        <c:ser>
          <c:idx val="0"/>
          <c:order val="0"/>
          <c:tx>
            <c:strRef>
              <c:f>Inputs_Outputs!$B$102</c:f>
              <c:strCache>
                <c:ptCount val="1"/>
                <c:pt idx="0">
                  <c:v>3000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Inputs_Outputs!$C$102:$K$102</c:f>
              <c:numCache>
                <c:formatCode>0.000</c:formatCode>
                <c:ptCount val="9"/>
                <c:pt idx="0">
                  <c:v>5.3332601521207543E-2</c:v>
                </c:pt>
                <c:pt idx="1">
                  <c:v>2.3400844691407813E-2</c:v>
                </c:pt>
                <c:pt idx="2">
                  <c:v>1.1779333787859947E-2</c:v>
                </c:pt>
                <c:pt idx="3">
                  <c:v>1.1139783481738243E-2</c:v>
                </c:pt>
                <c:pt idx="4">
                  <c:v>1.8473530153246091E-2</c:v>
                </c:pt>
                <c:pt idx="5">
                  <c:v>3.4797939740574373E-2</c:v>
                </c:pt>
                <c:pt idx="6">
                  <c:v>5.8163748750930833E-2</c:v>
                </c:pt>
                <c:pt idx="7">
                  <c:v>9.2252821123246995E-2</c:v>
                </c:pt>
                <c:pt idx="8">
                  <c:v>0.1551457106687317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E-4185-96C8-9A3FCDF2C566}"/>
            </c:ext>
          </c:extLst>
        </c:ser>
        <c:ser>
          <c:idx val="1"/>
          <c:order val="1"/>
          <c:tx>
            <c:strRef>
              <c:f>Inputs_Outputs!$B$103</c:f>
              <c:strCache>
                <c:ptCount val="1"/>
                <c:pt idx="0">
                  <c:v>3500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Inputs_Outputs!$C$103:$K$103</c:f>
              <c:numCache>
                <c:formatCode>0.000</c:formatCode>
                <c:ptCount val="9"/>
                <c:pt idx="0">
                  <c:v>6.1801941594066143E-2</c:v>
                </c:pt>
                <c:pt idx="1">
                  <c:v>2.6981905142994263E-2</c:v>
                </c:pt>
                <c:pt idx="2">
                  <c:v>1.1710632105021154E-2</c:v>
                </c:pt>
                <c:pt idx="3">
                  <c:v>8.1115448042954758E-3</c:v>
                </c:pt>
                <c:pt idx="4">
                  <c:v>1.2804898274339411E-2</c:v>
                </c:pt>
                <c:pt idx="5">
                  <c:v>2.6417003117106187E-2</c:v>
                </c:pt>
                <c:pt idx="6">
                  <c:v>4.6897023517804157E-2</c:v>
                </c:pt>
                <c:pt idx="7">
                  <c:v>7.7527055080322149E-2</c:v>
                </c:pt>
                <c:pt idx="8">
                  <c:v>0.13503711986217301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EE-4185-96C8-9A3FCDF2C566}"/>
            </c:ext>
          </c:extLst>
        </c:ser>
        <c:ser>
          <c:idx val="2"/>
          <c:order val="2"/>
          <c:tx>
            <c:strRef>
              <c:f>Inputs_Outputs!$B$104</c:f>
              <c:strCache>
                <c:ptCount val="1"/>
                <c:pt idx="0">
                  <c:v>4000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Inputs_Outputs!$C$104:$K$104</c:f>
              <c:numCache>
                <c:formatCode>0.000</c:formatCode>
                <c:ptCount val="9"/>
                <c:pt idx="0">
                  <c:v>7.1778990280893865E-2</c:v>
                </c:pt>
                <c:pt idx="1">
                  <c:v>3.1812003684465108E-2</c:v>
                </c:pt>
                <c:pt idx="2">
                  <c:v>1.2756370029351156E-2</c:v>
                </c:pt>
                <c:pt idx="3">
                  <c:v>6.1409080750927363E-3</c:v>
                </c:pt>
                <c:pt idx="4">
                  <c:v>8.193803847842334E-3</c:v>
                </c:pt>
                <c:pt idx="5">
                  <c:v>1.9149829957237262E-2</c:v>
                </c:pt>
                <c:pt idx="6">
                  <c:v>3.6853023493244923E-2</c:v>
                </c:pt>
                <c:pt idx="7">
                  <c:v>6.4207259011806225E-2</c:v>
                </c:pt>
                <c:pt idx="8">
                  <c:v>0.1166823747713696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EE-4185-96C8-9A3FCDF2C566}"/>
            </c:ext>
          </c:extLst>
        </c:ser>
        <c:ser>
          <c:idx val="3"/>
          <c:order val="3"/>
          <c:tx>
            <c:strRef>
              <c:f>Inputs_Outputs!$B$105</c:f>
              <c:strCache>
                <c:ptCount val="1"/>
                <c:pt idx="0">
                  <c:v>4500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Inputs_Outputs!$C$105:$K$105</c:f>
              <c:numCache>
                <c:formatCode>0.000</c:formatCode>
                <c:ptCount val="9"/>
                <c:pt idx="0">
                  <c:v>8.3377112542351972E-2</c:v>
                </c:pt>
                <c:pt idx="1">
                  <c:v>3.7968969897140131E-2</c:v>
                </c:pt>
                <c:pt idx="2">
                  <c:v>1.4969537281020863E-2</c:v>
                </c:pt>
                <c:pt idx="3">
                  <c:v>5.2617542227104642E-3</c:v>
                </c:pt>
                <c:pt idx="4">
                  <c:v>4.6576384597894899E-3</c:v>
                </c:pt>
                <c:pt idx="5">
                  <c:v>1.2997317352756324E-2</c:v>
                </c:pt>
                <c:pt idx="6">
                  <c:v>2.8014249074911131E-2</c:v>
                </c:pt>
                <c:pt idx="7">
                  <c:v>5.2252366448499461E-2</c:v>
                </c:pt>
                <c:pt idx="8">
                  <c:v>0.10000306748261269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E-4185-96C8-9A3FCDF2C566}"/>
            </c:ext>
          </c:extLst>
        </c:ser>
        <c:ser>
          <c:idx val="4"/>
          <c:order val="4"/>
          <c:tx>
            <c:strRef>
              <c:f>Inputs_Outputs!$B$106</c:f>
              <c:strCache>
                <c:ptCount val="1"/>
                <c:pt idx="0">
                  <c:v>5000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Inputs_Outputs!$C$106:$K$106</c:f>
              <c:numCache>
                <c:formatCode>0.000</c:formatCode>
                <c:ptCount val="9"/>
                <c:pt idx="0">
                  <c:v>9.6723894322986476E-2</c:v>
                </c:pt>
                <c:pt idx="1">
                  <c:v>4.5541421169430898E-2</c:v>
                </c:pt>
                <c:pt idx="2">
                  <c:v>1.8411840909611482E-2</c:v>
                </c:pt>
                <c:pt idx="3">
                  <c:v>5.5154832750866356E-3</c:v>
                </c:pt>
                <c:pt idx="4">
                  <c:v>2.2207536462828729E-3</c:v>
                </c:pt>
                <c:pt idx="5">
                  <c:v>7.9673569081427139E-3</c:v>
                </c:pt>
                <c:pt idx="6">
                  <c:v>2.0370885915348858E-2</c:v>
                </c:pt>
                <c:pt idx="7">
                  <c:v>4.1630643430367348E-2</c:v>
                </c:pt>
                <c:pt idx="8">
                  <c:v>8.493369407933235E-2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E-4185-96C8-9A3FCDF2C566}"/>
            </c:ext>
          </c:extLst>
        </c:ser>
        <c:ser>
          <c:idx val="5"/>
          <c:order val="5"/>
          <c:tx>
            <c:strRef>
              <c:f>Inputs_Outputs!$B$107</c:f>
              <c:strCache>
                <c:ptCount val="1"/>
                <c:pt idx="0">
                  <c:v>5500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Inputs_Outputs!$C$107:$K$107</c:f>
              <c:numCache>
                <c:formatCode>0.000</c:formatCode>
                <c:ptCount val="9"/>
                <c:pt idx="0">
                  <c:v>0.11417087457409619</c:v>
                </c:pt>
                <c:pt idx="1">
                  <c:v>5.6679671827907299E-2</c:v>
                </c:pt>
                <c:pt idx="2">
                  <c:v>2.5138454770722962E-2</c:v>
                </c:pt>
                <c:pt idx="3">
                  <c:v>8.9225417744228756E-3</c:v>
                </c:pt>
                <c:pt idx="4">
                  <c:v>2.9113556663824701E-3</c:v>
                </c:pt>
                <c:pt idx="5">
                  <c:v>6.1407953189697006E-3</c:v>
                </c:pt>
                <c:pt idx="6">
                  <c:v>1.6099192625966624E-2</c:v>
                </c:pt>
                <c:pt idx="7">
                  <c:v>3.468123395502383E-2</c:v>
                </c:pt>
                <c:pt idx="8">
                  <c:v>7.4163574938754695E-2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EE-4185-96C8-9A3FCDF2C566}"/>
            </c:ext>
          </c:extLst>
        </c:ser>
        <c:ser>
          <c:idx val="6"/>
          <c:order val="6"/>
          <c:tx>
            <c:strRef>
              <c:f>Inputs_Outputs!$B$108</c:f>
              <c:strCache>
                <c:ptCount val="1"/>
                <c:pt idx="0">
                  <c:v>6000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Inputs_Outputs!$C$108:$K$108</c:f>
              <c:numCache>
                <c:formatCode>0.000</c:formatCode>
                <c:ptCount val="9"/>
                <c:pt idx="0">
                  <c:v>0.13289361755742277</c:v>
                </c:pt>
                <c:pt idx="1">
                  <c:v>6.821933245894729E-2</c:v>
                </c:pt>
                <c:pt idx="2">
                  <c:v>3.1806088423472163E-2</c:v>
                </c:pt>
                <c:pt idx="3">
                  <c:v>1.2046105508536558E-2</c:v>
                </c:pt>
                <c:pt idx="4">
                  <c:v>3.2513982073645803E-3</c:v>
                </c:pt>
                <c:pt idx="5">
                  <c:v>4.0417587422574694E-3</c:v>
                </c:pt>
                <c:pt idx="6">
                  <c:v>1.1759399918333842E-2</c:v>
                </c:pt>
                <c:pt idx="7">
                  <c:v>2.8044902820050482E-2</c:v>
                </c:pt>
                <c:pt idx="8">
                  <c:v>6.4526040679988322E-2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EE-4185-96C8-9A3FCDF2C566}"/>
            </c:ext>
          </c:extLst>
        </c:ser>
        <c:ser>
          <c:idx val="7"/>
          <c:order val="7"/>
          <c:tx>
            <c:strRef>
              <c:f>Inputs_Outputs!$B$109</c:f>
              <c:strCache>
                <c:ptCount val="1"/>
                <c:pt idx="0">
                  <c:v>6500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Inputs_Outputs!$C$109:$K$109</c:f>
              <c:numCache>
                <c:formatCode>0.000</c:formatCode>
                <c:ptCount val="9"/>
                <c:pt idx="0">
                  <c:v>0.1552175106427886</c:v>
                </c:pt>
                <c:pt idx="1">
                  <c:v>8.2793181546068809E-2</c:v>
                </c:pt>
                <c:pt idx="2">
                  <c:v>4.1154201905484203E-2</c:v>
                </c:pt>
                <c:pt idx="3">
                  <c:v>1.7615491341011098E-2</c:v>
                </c:pt>
                <c:pt idx="4">
                  <c:v>5.8705366904503922E-3</c:v>
                </c:pt>
                <c:pt idx="5">
                  <c:v>4.0910852271888358E-3</c:v>
                </c:pt>
                <c:pt idx="6">
                  <c:v>9.4518264027190439E-3</c:v>
                </c:pt>
                <c:pt idx="7">
                  <c:v>2.3314148982127185E-2</c:v>
                </c:pt>
                <c:pt idx="8">
                  <c:v>5.6578153972599694E-2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EE-4185-96C8-9A3FCDF2C566}"/>
            </c:ext>
          </c:extLst>
        </c:ser>
        <c:ser>
          <c:idx val="8"/>
          <c:order val="8"/>
          <c:tx>
            <c:strRef>
              <c:f>Inputs_Outputs!$B$110</c:f>
              <c:strCache>
                <c:ptCount val="1"/>
                <c:pt idx="0">
                  <c:v>7000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Inputs_Outputs!$C$110:$K$110</c:f>
              <c:numCache>
                <c:formatCode>0.000</c:formatCode>
                <c:ptCount val="9"/>
                <c:pt idx="0">
                  <c:v>0.19153527370681384</c:v>
                </c:pt>
                <c:pt idx="1">
                  <c:v>0.10998874335099366</c:v>
                </c:pt>
                <c:pt idx="2">
                  <c:v>6.2371720843431233E-2</c:v>
                </c:pt>
                <c:pt idx="3">
                  <c:v>3.4640220961108852E-2</c:v>
                </c:pt>
                <c:pt idx="4">
                  <c:v>1.974042595394947E-2</c:v>
                </c:pt>
                <c:pt idx="5">
                  <c:v>1.535424823019388E-2</c:v>
                </c:pt>
                <c:pt idx="6">
                  <c:v>1.8451950692683544E-2</c:v>
                </c:pt>
                <c:pt idx="7">
                  <c:v>3.0145233025624239E-2</c:v>
                </c:pt>
                <c:pt idx="8">
                  <c:v>6.0809768893657287E-2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EE-4185-96C8-9A3FCDF2C566}"/>
            </c:ext>
          </c:extLst>
        </c:ser>
        <c:ser>
          <c:idx val="9"/>
          <c:order val="9"/>
          <c:tx>
            <c:strRef>
              <c:f>Inputs_Outputs!$B$111</c:f>
              <c:strCache>
                <c:ptCount val="1"/>
                <c:pt idx="0">
                  <c:v>7500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Inputs_Outputs!$C$111:$K$111</c:f>
              <c:numCache>
                <c:formatCode>0.000</c:formatCode>
                <c:ptCount val="9"/>
                <c:pt idx="0">
                  <c:v>0.23126828545970654</c:v>
                </c:pt>
                <c:pt idx="1">
                  <c:v>0.1403870483150455</c:v>
                </c:pt>
                <c:pt idx="2">
                  <c:v>8.658811878491815E-2</c:v>
                </c:pt>
                <c:pt idx="3">
                  <c:v>5.4470403303861117E-2</c:v>
                </c:pt>
                <c:pt idx="4">
                  <c:v>3.6217934671534432E-2</c:v>
                </c:pt>
                <c:pt idx="5">
                  <c:v>2.8988384945804344E-2</c:v>
                </c:pt>
                <c:pt idx="6">
                  <c:v>2.9533704580628345E-2</c:v>
                </c:pt>
                <c:pt idx="7">
                  <c:v>3.865326815243033E-2</c:v>
                </c:pt>
                <c:pt idx="8">
                  <c:v>6.5938728422551371E-2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EE-4185-96C8-9A3FCDF2C566}"/>
            </c:ext>
          </c:extLst>
        </c:ser>
        <c:ser>
          <c:idx val="10"/>
          <c:order val="10"/>
          <c:tx>
            <c:strRef>
              <c:f>Inputs_Outputs!$B$112</c:f>
              <c:strCache>
                <c:ptCount val="1"/>
                <c:pt idx="0">
                  <c:v>8000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Inputs_Outputs!$C$112:$K$112</c:f>
              <c:numCache>
                <c:formatCode>0.000</c:formatCode>
                <c:ptCount val="9"/>
                <c:pt idx="0">
                  <c:v>0.28179722286106501</c:v>
                </c:pt>
                <c:pt idx="1">
                  <c:v>0.18014809288294803</c:v>
                </c:pt>
                <c:pt idx="2">
                  <c:v>0.11935175818466143</c:v>
                </c:pt>
                <c:pt idx="3">
                  <c:v>8.2367663272315511E-2</c:v>
                </c:pt>
                <c:pt idx="4">
                  <c:v>6.048359913761877E-2</c:v>
                </c:pt>
                <c:pt idx="5">
                  <c:v>5.0277601739473161E-2</c:v>
                </c:pt>
                <c:pt idx="6">
                  <c:v>4.824322436611149E-2</c:v>
                </c:pt>
                <c:pt idx="7">
                  <c:v>5.4873159632388452E-2</c:v>
                </c:pt>
                <c:pt idx="8">
                  <c:v>7.9080497712123374E-2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EE-4185-96C8-9A3FCDF2C566}"/>
            </c:ext>
          </c:extLst>
        </c:ser>
        <c:ser>
          <c:idx val="11"/>
          <c:order val="11"/>
          <c:tx>
            <c:strRef>
              <c:f>Inputs_Outputs!$B$113</c:f>
              <c:strCache>
                <c:ptCount val="1"/>
                <c:pt idx="0">
                  <c:v>8500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Inputs_Outputs!$C$113:$K$113</c:f>
              <c:numCache>
                <c:formatCode>0.000</c:formatCode>
                <c:ptCount val="9"/>
                <c:pt idx="0">
                  <c:v>0.3486217566217179</c:v>
                </c:pt>
                <c:pt idx="1">
                  <c:v>0.23345307649341462</c:v>
                </c:pt>
                <c:pt idx="2">
                  <c:v>0.16413704053458283</c:v>
                </c:pt>
                <c:pt idx="3">
                  <c:v>0.12141078618908868</c:v>
                </c:pt>
                <c:pt idx="4">
                  <c:v>9.5397308807943754E-2</c:v>
                </c:pt>
                <c:pt idx="5">
                  <c:v>8.198647364116235E-2</c:v>
                </c:pt>
                <c:pt idx="6">
                  <c:v>7.7336191952539185E-2</c:v>
                </c:pt>
                <c:pt idx="7">
                  <c:v>8.1644015127527392E-2</c:v>
                </c:pt>
                <c:pt idx="8">
                  <c:v>0.10335137507007136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EE-4185-96C8-9A3FCDF2C566}"/>
            </c:ext>
          </c:extLst>
        </c:ser>
        <c:ser>
          <c:idx val="12"/>
          <c:order val="12"/>
          <c:tx>
            <c:strRef>
              <c:f>Inputs_Outputs!$B$114</c:f>
              <c:strCache>
                <c:ptCount val="1"/>
                <c:pt idx="0">
                  <c:v>9000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Inputs_Outputs!$C$114:$K$114</c:f>
              <c:numCache>
                <c:formatCode>0.000</c:formatCode>
                <c:ptCount val="9"/>
                <c:pt idx="0">
                  <c:v>0.42462909215101186</c:v>
                </c:pt>
                <c:pt idx="1">
                  <c:v>0.29385460813223196</c:v>
                </c:pt>
                <c:pt idx="2">
                  <c:v>0.21481064974760472</c:v>
                </c:pt>
                <c:pt idx="3">
                  <c:v>0.16559416527153462</c:v>
                </c:pt>
                <c:pt idx="4">
                  <c:v>0.13496110968607022</c:v>
                </c:pt>
                <c:pt idx="5">
                  <c:v>0.11801014543572386</c:v>
                </c:pt>
                <c:pt idx="6">
                  <c:v>0.11050221445863551</c:v>
                </c:pt>
                <c:pt idx="7">
                  <c:v>0.11230342177226728</c:v>
                </c:pt>
                <c:pt idx="8">
                  <c:v>0.13134579645695316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FEE-4185-96C8-9A3FCDF2C566}"/>
            </c:ext>
          </c:extLst>
        </c:ser>
        <c:ser>
          <c:idx val="13"/>
          <c:order val="13"/>
          <c:tx>
            <c:strRef>
              <c:f>Inputs_Outputs!$B$115</c:f>
              <c:strCache>
                <c:ptCount val="1"/>
                <c:pt idx="0">
                  <c:v>9500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Inputs_Outputs!$C$115:$K$115</c:f>
              <c:numCache>
                <c:formatCode>0.000</c:formatCode>
                <c:ptCount val="9"/>
                <c:pt idx="0">
                  <c:v>0.50180764120278254</c:v>
                </c:pt>
                <c:pt idx="1">
                  <c:v>0.354452968879997</c:v>
                </c:pt>
                <c:pt idx="2">
                  <c:v>0.26504750288177181</c:v>
                </c:pt>
                <c:pt idx="3">
                  <c:v>0.20889704994291119</c:v>
                </c:pt>
                <c:pt idx="4">
                  <c:v>0.17330437328425755</c:v>
                </c:pt>
                <c:pt idx="5">
                  <c:v>0.15251468282305614</c:v>
                </c:pt>
                <c:pt idx="6">
                  <c:v>0.14186313413864413</c:v>
                </c:pt>
                <c:pt idx="7">
                  <c:v>0.14083507062636563</c:v>
                </c:pt>
                <c:pt idx="8">
                  <c:v>0.15669653924348273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FEE-4185-96C8-9A3FCDF2C566}"/>
            </c:ext>
          </c:extLst>
        </c:ser>
        <c:ser>
          <c:idx val="14"/>
          <c:order val="14"/>
          <c:tx>
            <c:strRef>
              <c:f>Inputs_Outputs!$B$116</c:f>
              <c:strCache>
                <c:ptCount val="1"/>
                <c:pt idx="0">
                  <c:v>10000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Inputs_Outputs!$C$116:$K$116</c:f>
              <c:numCache>
                <c:formatCode>0.000</c:formatCode>
                <c:ptCount val="9"/>
                <c:pt idx="0">
                  <c:v>0.58940251803662314</c:v>
                </c:pt>
                <c:pt idx="1">
                  <c:v>0.42198852621523864</c:v>
                </c:pt>
                <c:pt idx="2">
                  <c:v>0.32025529818989806</c:v>
                </c:pt>
                <c:pt idx="3">
                  <c:v>0.25598976475544033</c:v>
                </c:pt>
                <c:pt idx="4">
                  <c:v>0.21469859792842119</c:v>
                </c:pt>
                <c:pt idx="5">
                  <c:v>0.18961181104297611</c:v>
                </c:pt>
                <c:pt idx="6">
                  <c:v>0.17554116213273305</c:v>
                </c:pt>
                <c:pt idx="7">
                  <c:v>0.17155852215378337</c:v>
                </c:pt>
                <c:pt idx="8">
                  <c:v>0.18432165136923773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FEE-4185-96C8-9A3FCDF2C566}"/>
            </c:ext>
          </c:extLst>
        </c:ser>
        <c:ser>
          <c:idx val="15"/>
          <c:order val="15"/>
          <c:tx>
            <c:strRef>
              <c:f>Inputs_Outputs!$B$117</c:f>
              <c:strCache>
                <c:ptCount val="1"/>
                <c:pt idx="0">
                  <c:v>10500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Inputs_Outputs!$C$117:$K$117</c:f>
              <c:numCache>
                <c:formatCode>0.000</c:formatCode>
                <c:ptCount val="9"/>
                <c:pt idx="0">
                  <c:v>0.67480092943207404</c:v>
                </c:pt>
                <c:pt idx="1">
                  <c:v>0.48121738651766666</c:v>
                </c:pt>
                <c:pt idx="2">
                  <c:v>0.36376551623864534</c:v>
                </c:pt>
                <c:pt idx="3">
                  <c:v>0.28937996208725197</c:v>
                </c:pt>
                <c:pt idx="4">
                  <c:v>0.24115367130282511</c:v>
                </c:pt>
                <c:pt idx="5">
                  <c:v>0.21101450352633569</c:v>
                </c:pt>
                <c:pt idx="6">
                  <c:v>0.19307931216605606</c:v>
                </c:pt>
                <c:pt idx="7">
                  <c:v>0.18595049057774085</c:v>
                </c:pt>
                <c:pt idx="8">
                  <c:v>0.19578230146260656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FEE-4185-96C8-9A3FCDF2C566}"/>
            </c:ext>
          </c:extLst>
        </c:ser>
        <c:ser>
          <c:idx val="16"/>
          <c:order val="16"/>
          <c:tx>
            <c:strRef>
              <c:f>Inputs_Outputs!$B$118</c:f>
              <c:strCache>
                <c:ptCount val="1"/>
                <c:pt idx="0">
                  <c:v>11000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Inputs_Outputs!$C$118:$K$118</c:f>
              <c:numCache>
                <c:formatCode>0.000</c:formatCode>
                <c:ptCount val="9"/>
                <c:pt idx="0">
                  <c:v>0.6846341143999819</c:v>
                </c:pt>
                <c:pt idx="1">
                  <c:v>0.48267300850023931</c:v>
                </c:pt>
                <c:pt idx="2">
                  <c:v>0.36079824578722863</c:v>
                </c:pt>
                <c:pt idx="3">
                  <c:v>0.28394188232668716</c:v>
                </c:pt>
                <c:pt idx="4">
                  <c:v>0.23430895225744272</c:v>
                </c:pt>
                <c:pt idx="5">
                  <c:v>0.20346467792805267</c:v>
                </c:pt>
                <c:pt idx="6">
                  <c:v>0.1852699499927121</c:v>
                </c:pt>
                <c:pt idx="7">
                  <c:v>0.17831402380127215</c:v>
                </c:pt>
                <c:pt idx="8">
                  <c:v>0.18918958336567829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FEE-4185-96C8-9A3FCDF2C566}"/>
            </c:ext>
          </c:extLst>
        </c:ser>
        <c:ser>
          <c:idx val="17"/>
          <c:order val="17"/>
          <c:tx>
            <c:strRef>
              <c:f>Inputs_Outputs!$B$119</c:f>
              <c:strCache>
                <c:ptCount val="1"/>
                <c:pt idx="0">
                  <c:v>11500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Inputs_Outputs!$C$119:$K$119</c:f>
              <c:numCache>
                <c:formatCode>0.000</c:formatCode>
                <c:ptCount val="9"/>
                <c:pt idx="0">
                  <c:v>0.76932512300961209</c:v>
                </c:pt>
                <c:pt idx="1">
                  <c:v>0.53484495636322493</c:v>
                </c:pt>
                <c:pt idx="2">
                  <c:v>0.3938622818846903</c:v>
                </c:pt>
                <c:pt idx="3">
                  <c:v>0.30495902484779203</c:v>
                </c:pt>
                <c:pt idx="4">
                  <c:v>0.24724937516294726</c:v>
                </c:pt>
                <c:pt idx="5">
                  <c:v>0.2106767858745841</c:v>
                </c:pt>
                <c:pt idx="6">
                  <c:v>0.18824277437647052</c:v>
                </c:pt>
                <c:pt idx="7">
                  <c:v>0.17799469526893508</c:v>
                </c:pt>
                <c:pt idx="8">
                  <c:v>0.18603561084536205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FEE-4185-96C8-9A3FCDF2C566}"/>
            </c:ext>
          </c:extLst>
        </c:ser>
        <c:ser>
          <c:idx val="18"/>
          <c:order val="18"/>
          <c:tx>
            <c:strRef>
              <c:f>Inputs_Outputs!$B$120</c:f>
              <c:strCache>
                <c:ptCount val="1"/>
                <c:pt idx="0">
                  <c:v>12000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Inputs_Outputs!$C$120:$K$120</c:f>
              <c:numCache>
                <c:formatCode>0.000</c:formatCode>
                <c:ptCount val="9"/>
                <c:pt idx="0">
                  <c:v>0.86718998268889824</c:v>
                </c:pt>
                <c:pt idx="1">
                  <c:v>0.59113586284582453</c:v>
                </c:pt>
                <c:pt idx="2">
                  <c:v>0.4260871507430295</c:v>
                </c:pt>
                <c:pt idx="3">
                  <c:v>0.32222714989125223</c:v>
                </c:pt>
                <c:pt idx="4">
                  <c:v>0.25463793407568969</c:v>
                </c:pt>
                <c:pt idx="5">
                  <c:v>0.21119360938031589</c:v>
                </c:pt>
                <c:pt idx="6">
                  <c:v>0.18378422214759216</c:v>
                </c:pt>
                <c:pt idx="7">
                  <c:v>0.16980295342959639</c:v>
                </c:pt>
                <c:pt idx="8">
                  <c:v>0.17488578464690721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FEE-4185-96C8-9A3FCDF2C566}"/>
            </c:ext>
          </c:extLst>
        </c:ser>
        <c:ser>
          <c:idx val="19"/>
          <c:order val="19"/>
          <c:tx>
            <c:strRef>
              <c:f>Inputs_Outputs!$B$121</c:f>
              <c:strCache>
                <c:ptCount val="1"/>
                <c:pt idx="0">
                  <c:v>12500</c:v>
                </c:pt>
              </c:strCache>
            </c:strRef>
          </c:tx>
          <c:spPr>
            <a:ln/>
            <a:effectLst/>
          </c:spPr>
          <c:cat>
            <c:numRef>
              <c:f>Inputs_Outputs!$C$101:$K$101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Inputs_Outputs!$C$121:$K$121</c:f>
              <c:numCache>
                <c:formatCode>0.000</c:formatCode>
                <c:ptCount val="9"/>
                <c:pt idx="0">
                  <c:v>1</c:v>
                </c:pt>
                <c:pt idx="1">
                  <c:v>0.67675872291241923</c:v>
                </c:pt>
                <c:pt idx="2">
                  <c:v>0.48451499737630965</c:v>
                </c:pt>
                <c:pt idx="3">
                  <c:v>0.36381564526734089</c:v>
                </c:pt>
                <c:pt idx="4">
                  <c:v>0.28513051665929112</c:v>
                </c:pt>
                <c:pt idx="5">
                  <c:v>0.23396852788337302</c:v>
                </c:pt>
                <c:pt idx="6">
                  <c:v>0.20095614582434493</c:v>
                </c:pt>
                <c:pt idx="7">
                  <c:v>0.18272920534143433</c:v>
                </c:pt>
                <c:pt idx="8">
                  <c:v>0.18432601812098301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FEE-4185-96C8-9A3FCDF2C566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206552448"/>
        <c:axId val="206562816"/>
        <c:axId val="277475776"/>
      </c:surface3DChart>
      <c:catAx>
        <c:axId val="20655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2816"/>
        <c:crosses val="autoZero"/>
        <c:auto val="1"/>
        <c:lblAlgn val="ctr"/>
        <c:lblOffset val="100"/>
        <c:noMultiLvlLbl val="0"/>
      </c:catAx>
      <c:valAx>
        <c:axId val="2065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Environmental impact (normalized)</a:t>
                </a:r>
              </a:p>
            </c:rich>
          </c:tx>
          <c:layout>
            <c:manualLayout>
              <c:xMode val="edge"/>
              <c:yMode val="edge"/>
              <c:x val="0.1743042514337986"/>
              <c:y val="0.2037039364111507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52448"/>
        <c:crosses val="autoZero"/>
        <c:crossBetween val="midCat"/>
      </c:valAx>
      <c:serAx>
        <c:axId val="27747577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Altitude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62816"/>
        <c:crosses val="autoZero"/>
        <c:tickLblSkip val="2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248899092800652E-2"/>
          <c:y val="1.6856839265911302E-2"/>
          <c:w val="0.89247088186356049"/>
          <c:h val="0.79606595614442754"/>
        </c:manualLayout>
      </c:layout>
      <c:surface3DChart>
        <c:wireframe val="1"/>
        <c:ser>
          <c:idx val="0"/>
          <c:order val="0"/>
          <c:tx>
            <c:strRef>
              <c:f>Inputs_Outputs!$B$127</c:f>
              <c:strCache>
                <c:ptCount val="1"/>
                <c:pt idx="0">
                  <c:v>3000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Inputs_Outputs!$C$127:$K$127</c:f>
              <c:numCache>
                <c:formatCode>0.000</c:formatCode>
                <c:ptCount val="9"/>
                <c:pt idx="0">
                  <c:v>0.3806009905312211</c:v>
                </c:pt>
                <c:pt idx="1">
                  <c:v>0.2709763232358397</c:v>
                </c:pt>
                <c:pt idx="2">
                  <c:v>0.19585074609978578</c:v>
                </c:pt>
                <c:pt idx="3">
                  <c:v>0.1411976029411135</c:v>
                </c:pt>
                <c:pt idx="4">
                  <c:v>0.10137476014298774</c:v>
                </c:pt>
                <c:pt idx="5">
                  <c:v>7.5149345138459556E-2</c:v>
                </c:pt>
                <c:pt idx="6">
                  <c:v>5.9658672423543987E-2</c:v>
                </c:pt>
                <c:pt idx="7">
                  <c:v>5.6312612185898642E-2</c:v>
                </c:pt>
                <c:pt idx="8">
                  <c:v>7.7572855334365851E-2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F-45FD-997C-255CA5A5ED2C}"/>
            </c:ext>
          </c:extLst>
        </c:ser>
        <c:ser>
          <c:idx val="1"/>
          <c:order val="1"/>
          <c:tx>
            <c:strRef>
              <c:f>Inputs_Outputs!$B$128</c:f>
              <c:strCache>
                <c:ptCount val="1"/>
                <c:pt idx="0">
                  <c:v>3500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Inputs_Outputs!$C$128:$K$128</c:f>
              <c:numCache>
                <c:formatCode>0.000</c:formatCode>
                <c:ptCount val="9"/>
                <c:pt idx="0">
                  <c:v>0.4009548397461597</c:v>
                </c:pt>
                <c:pt idx="1">
                  <c:v>0.28664833115146415</c:v>
                </c:pt>
                <c:pt idx="2">
                  <c:v>0.20826413015545511</c:v>
                </c:pt>
                <c:pt idx="3">
                  <c:v>0.15070388621733963</c:v>
                </c:pt>
                <c:pt idx="4">
                  <c:v>0.10866013588856492</c:v>
                </c:pt>
                <c:pt idx="5">
                  <c:v>8.020946795203987E-2</c:v>
                </c:pt>
                <c:pt idx="6">
                  <c:v>6.2157886338029322E-2</c:v>
                </c:pt>
                <c:pt idx="7">
                  <c:v>5.6136603917163172E-2</c:v>
                </c:pt>
                <c:pt idx="8">
                  <c:v>7.3139219632616284E-2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BF-45FD-997C-255CA5A5ED2C}"/>
            </c:ext>
          </c:extLst>
        </c:ser>
        <c:ser>
          <c:idx val="2"/>
          <c:order val="2"/>
          <c:tx>
            <c:strRef>
              <c:f>Inputs_Outputs!$B$129</c:f>
              <c:strCache>
                <c:ptCount val="1"/>
                <c:pt idx="0">
                  <c:v>4000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Inputs_Outputs!$C$129:$K$129</c:f>
              <c:numCache>
                <c:formatCode>0.000</c:formatCode>
                <c:ptCount val="9"/>
                <c:pt idx="0">
                  <c:v>0.41287031723870909</c:v>
                </c:pt>
                <c:pt idx="1">
                  <c:v>0.29464279692628281</c:v>
                </c:pt>
                <c:pt idx="2">
                  <c:v>0.21306547137414042</c:v>
                </c:pt>
                <c:pt idx="3">
                  <c:v>0.15380956280004382</c:v>
                </c:pt>
                <c:pt idx="4">
                  <c:v>0.1099204357713494</c:v>
                </c:pt>
                <c:pt idx="5">
                  <c:v>7.9597618029182221E-2</c:v>
                </c:pt>
                <c:pt idx="6">
                  <c:v>5.9573523865058181E-2</c:v>
                </c:pt>
                <c:pt idx="7">
                  <c:v>5.1212266233929327E-2</c:v>
                </c:pt>
                <c:pt idx="8">
                  <c:v>6.4806842845112983E-2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BF-45FD-997C-255CA5A5ED2C}"/>
            </c:ext>
          </c:extLst>
        </c:ser>
        <c:ser>
          <c:idx val="3"/>
          <c:order val="3"/>
          <c:tx>
            <c:strRef>
              <c:f>Inputs_Outputs!$B$130</c:f>
              <c:strCache>
                <c:ptCount val="1"/>
                <c:pt idx="0">
                  <c:v>4500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Inputs_Outputs!$C$130:$K$130</c:f>
              <c:numCache>
                <c:formatCode>0.000</c:formatCode>
                <c:ptCount val="9"/>
                <c:pt idx="0">
                  <c:v>0.42640352343137988</c:v>
                </c:pt>
                <c:pt idx="1">
                  <c:v>0.30347331018436968</c:v>
                </c:pt>
                <c:pt idx="2">
                  <c:v>0.21851871292290803</c:v>
                </c:pt>
                <c:pt idx="3">
                  <c:v>0.15713539086354997</c:v>
                </c:pt>
                <c:pt idx="4">
                  <c:v>0.11140440649071234</c:v>
                </c:pt>
                <c:pt idx="5">
                  <c:v>7.9249438045024517E-2</c:v>
                </c:pt>
                <c:pt idx="6">
                  <c:v>5.7326897347535835E-2</c:v>
                </c:pt>
                <c:pt idx="7">
                  <c:v>4.6510205972521923E-2</c:v>
                </c:pt>
                <c:pt idx="8">
                  <c:v>5.6729670742352488E-2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BF-45FD-997C-255CA5A5ED2C}"/>
            </c:ext>
          </c:extLst>
        </c:ser>
        <c:ser>
          <c:idx val="4"/>
          <c:order val="4"/>
          <c:tx>
            <c:strRef>
              <c:f>Inputs_Outputs!$B$131</c:f>
              <c:strCache>
                <c:ptCount val="1"/>
                <c:pt idx="0">
                  <c:v>5000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Inputs_Outputs!$C$131:$K$131</c:f>
              <c:numCache>
                <c:formatCode>0.000</c:formatCode>
                <c:ptCount val="9"/>
                <c:pt idx="0">
                  <c:v>0.44147511104662951</c:v>
                </c:pt>
                <c:pt idx="1">
                  <c:v>0.31359435337339947</c:v>
                </c:pt>
                <c:pt idx="2">
                  <c:v>0.2254560370252619</c:v>
                </c:pt>
                <c:pt idx="3">
                  <c:v>0.16141350266455218</c:v>
                </c:pt>
                <c:pt idx="4">
                  <c:v>0.1137728514455108</c:v>
                </c:pt>
                <c:pt idx="5">
                  <c:v>7.9478118526554925E-2</c:v>
                </c:pt>
                <c:pt idx="6">
                  <c:v>5.5704478578860205E-2</c:v>
                </c:pt>
                <c:pt idx="7">
                  <c:v>4.3000230169897249E-2</c:v>
                </c:pt>
                <c:pt idx="8">
                  <c:v>4.9779995043551122E-2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BF-45FD-997C-255CA5A5ED2C}"/>
            </c:ext>
          </c:extLst>
        </c:ser>
        <c:ser>
          <c:idx val="5"/>
          <c:order val="5"/>
          <c:tx>
            <c:strRef>
              <c:f>Inputs_Outputs!$B$132</c:f>
              <c:strCache>
                <c:ptCount val="1"/>
                <c:pt idx="0">
                  <c:v>5500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Inputs_Outputs!$C$132:$K$132</c:f>
              <c:numCache>
                <c:formatCode>0.000</c:formatCode>
                <c:ptCount val="9"/>
                <c:pt idx="0">
                  <c:v>0.45909811263628542</c:v>
                </c:pt>
                <c:pt idx="1">
                  <c:v>0.32639434742087481</c:v>
                </c:pt>
                <c:pt idx="2">
                  <c:v>0.23393187144857922</c:v>
                </c:pt>
                <c:pt idx="3">
                  <c:v>0.16750491400151341</c:v>
                </c:pt>
                <c:pt idx="4">
                  <c:v>0.11757389419010122</c:v>
                </c:pt>
                <c:pt idx="5">
                  <c:v>8.1467074037943954E-2</c:v>
                </c:pt>
                <c:pt idx="6">
                  <c:v>5.5915017251468947E-2</c:v>
                </c:pt>
                <c:pt idx="7">
                  <c:v>4.0999069678071154E-2</c:v>
                </c:pt>
                <c:pt idx="8">
                  <c:v>4.4719509660985687E-2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BF-45FD-997C-255CA5A5ED2C}"/>
            </c:ext>
          </c:extLst>
        </c:ser>
        <c:ser>
          <c:idx val="6"/>
          <c:order val="6"/>
          <c:tx>
            <c:strRef>
              <c:f>Inputs_Outputs!$B$133</c:f>
              <c:strCache>
                <c:ptCount val="1"/>
                <c:pt idx="0">
                  <c:v>6000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Inputs_Outputs!$C$133:$K$133</c:f>
              <c:numCache>
                <c:formatCode>0.000</c:formatCode>
                <c:ptCount val="9"/>
                <c:pt idx="0">
                  <c:v>0.47711028605999312</c:v>
                </c:pt>
                <c:pt idx="1">
                  <c:v>0.33915909211010092</c:v>
                </c:pt>
                <c:pt idx="2">
                  <c:v>0.24251612951540749</c:v>
                </c:pt>
                <c:pt idx="3">
                  <c:v>0.17315655577188468</c:v>
                </c:pt>
                <c:pt idx="4">
                  <c:v>0.12121363534933338</c:v>
                </c:pt>
                <c:pt idx="5">
                  <c:v>8.301106808936401E-2</c:v>
                </c:pt>
                <c:pt idx="6">
                  <c:v>5.5527516808949254E-2</c:v>
                </c:pt>
                <c:pt idx="7">
                  <c:v>3.86308279653476E-2</c:v>
                </c:pt>
                <c:pt idx="8">
                  <c:v>3.999134437237982E-2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BF-45FD-997C-255CA5A5ED2C}"/>
            </c:ext>
          </c:extLst>
        </c:ser>
        <c:ser>
          <c:idx val="7"/>
          <c:order val="7"/>
          <c:tx>
            <c:strRef>
              <c:f>Inputs_Outputs!$B$134</c:f>
              <c:strCache>
                <c:ptCount val="1"/>
                <c:pt idx="0">
                  <c:v>6500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Inputs_Outputs!$C$134:$K$134</c:f>
              <c:numCache>
                <c:formatCode>0.000</c:formatCode>
                <c:ptCount val="9"/>
                <c:pt idx="0">
                  <c:v>0.49827728876772626</c:v>
                </c:pt>
                <c:pt idx="1">
                  <c:v>0.35410302274286459</c:v>
                </c:pt>
                <c:pt idx="2">
                  <c:v>0.25299400309016074</c:v>
                </c:pt>
                <c:pt idx="3">
                  <c:v>0.18086432499614788</c:v>
                </c:pt>
                <c:pt idx="4">
                  <c:v>0.12639811517304031</c:v>
                </c:pt>
                <c:pt idx="5">
                  <c:v>8.598989952514613E-2</c:v>
                </c:pt>
                <c:pt idx="6">
                  <c:v>5.6488900141265022E-2</c:v>
                </c:pt>
                <c:pt idx="7">
                  <c:v>3.753745141564177E-2</c:v>
                </c:pt>
                <c:pt idx="8">
                  <c:v>3.6451591870830816E-2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BF-45FD-997C-255CA5A5ED2C}"/>
            </c:ext>
          </c:extLst>
        </c:ser>
        <c:ser>
          <c:idx val="8"/>
          <c:order val="8"/>
          <c:tx>
            <c:strRef>
              <c:f>Inputs_Outputs!$B$135</c:f>
              <c:strCache>
                <c:ptCount val="1"/>
                <c:pt idx="0">
                  <c:v>7000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Inputs_Outputs!$C$135:$K$135</c:f>
              <c:numCache>
                <c:formatCode>0.000</c:formatCode>
                <c:ptCount val="9"/>
                <c:pt idx="0">
                  <c:v>0.52686507706642671</c:v>
                </c:pt>
                <c:pt idx="1">
                  <c:v>0.37566351234396067</c:v>
                </c:pt>
                <c:pt idx="2">
                  <c:v>0.26960700866419396</c:v>
                </c:pt>
                <c:pt idx="3">
                  <c:v>0.1940391230198116</c:v>
                </c:pt>
                <c:pt idx="4">
                  <c:v>0.13658787595464758</c:v>
                </c:pt>
                <c:pt idx="5">
                  <c:v>9.4272424900530061E-2</c:v>
                </c:pt>
                <c:pt idx="6">
                  <c:v>6.2796710714519047E-2</c:v>
                </c:pt>
                <c:pt idx="7">
                  <c:v>4.1925672605481884E-2</c:v>
                </c:pt>
                <c:pt idx="8">
                  <c:v>3.8276765116696532E-2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BF-45FD-997C-255CA5A5ED2C}"/>
            </c:ext>
          </c:extLst>
        </c:ser>
        <c:ser>
          <c:idx val="9"/>
          <c:order val="9"/>
          <c:tx>
            <c:strRef>
              <c:f>Inputs_Outputs!$B$136</c:f>
              <c:strCache>
                <c:ptCount val="1"/>
                <c:pt idx="0">
                  <c:v>7500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Inputs_Outputs!$C$136:$K$136</c:f>
              <c:numCache>
                <c:formatCode>0.000</c:formatCode>
                <c:ptCount val="9"/>
                <c:pt idx="0">
                  <c:v>0.55802098877465245</c:v>
                </c:pt>
                <c:pt idx="1">
                  <c:v>0.39955667509435067</c:v>
                </c:pt>
                <c:pt idx="2">
                  <c:v>0.28834918856529501</c:v>
                </c:pt>
                <c:pt idx="3">
                  <c:v>0.20914845277917773</c:v>
                </c:pt>
                <c:pt idx="4">
                  <c:v>0.14920539115363077</c:v>
                </c:pt>
                <c:pt idx="5">
                  <c:v>0.10415212142823879</c:v>
                </c:pt>
                <c:pt idx="6">
                  <c:v>7.0524275832110905E-2</c:v>
                </c:pt>
                <c:pt idx="7">
                  <c:v>4.7514931202878724E-2</c:v>
                </c:pt>
                <c:pt idx="8">
                  <c:v>4.1150831834417166E-2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BF-45FD-997C-255CA5A5ED2C}"/>
            </c:ext>
          </c:extLst>
        </c:ser>
        <c:ser>
          <c:idx val="10"/>
          <c:order val="10"/>
          <c:tx>
            <c:strRef>
              <c:f>Inputs_Outputs!$B$137</c:f>
              <c:strCache>
                <c:ptCount val="1"/>
                <c:pt idx="0">
                  <c:v>8000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Inputs_Outputs!$C$137:$K$137</c:f>
              <c:numCache>
                <c:formatCode>0.000</c:formatCode>
                <c:ptCount val="9"/>
                <c:pt idx="0">
                  <c:v>0.595265982208669</c:v>
                </c:pt>
                <c:pt idx="1">
                  <c:v>0.42921859126544948</c:v>
                </c:pt>
                <c:pt idx="2">
                  <c:v>0.31227558100376018</c:v>
                </c:pt>
                <c:pt idx="3">
                  <c:v>0.22866159639335354</c:v>
                </c:pt>
                <c:pt idx="4">
                  <c:v>0.16567850387698915</c:v>
                </c:pt>
                <c:pt idx="5">
                  <c:v>0.11809740893525889</c:v>
                </c:pt>
                <c:pt idx="6">
                  <c:v>8.1991024150289082E-2</c:v>
                </c:pt>
                <c:pt idx="7">
                  <c:v>5.6887132003339724E-2</c:v>
                </c:pt>
                <c:pt idx="8">
                  <c:v>4.7981103689763299E-2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BF-45FD-997C-255CA5A5ED2C}"/>
            </c:ext>
          </c:extLst>
        </c:ser>
        <c:ser>
          <c:idx val="11"/>
          <c:order val="11"/>
          <c:tx>
            <c:strRef>
              <c:f>Inputs_Outputs!$B$138</c:f>
              <c:strCache>
                <c:ptCount val="1"/>
                <c:pt idx="0">
                  <c:v>8500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Inputs_Outputs!$C$138:$K$138</c:f>
              <c:numCache>
                <c:formatCode>0.000</c:formatCode>
                <c:ptCount val="9"/>
                <c:pt idx="0">
                  <c:v>0.63523978510964396</c:v>
                </c:pt>
                <c:pt idx="1">
                  <c:v>0.46557548895260076</c:v>
                </c:pt>
                <c:pt idx="2">
                  <c:v>0.34210710883287976</c:v>
                </c:pt>
                <c:pt idx="3">
                  <c:v>0.25394590173523535</c:v>
                </c:pt>
                <c:pt idx="4">
                  <c:v>0.1872405090647285</c:v>
                </c:pt>
                <c:pt idx="5">
                  <c:v>0.13667877047359034</c:v>
                </c:pt>
                <c:pt idx="6">
                  <c:v>9.8355751270308295E-2</c:v>
                </c:pt>
                <c:pt idx="7">
                  <c:v>7.097975645719623E-2</c:v>
                </c:pt>
                <c:pt idx="8">
                  <c:v>5.985274843317627E-2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BF-45FD-997C-255CA5A5ED2C}"/>
            </c:ext>
          </c:extLst>
        </c:ser>
        <c:ser>
          <c:idx val="12"/>
          <c:order val="12"/>
          <c:tx>
            <c:strRef>
              <c:f>Inputs_Outputs!$B$139</c:f>
              <c:strCache>
                <c:ptCount val="1"/>
                <c:pt idx="0">
                  <c:v>9000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Inputs_Outputs!$C$139:$K$139</c:f>
              <c:numCache>
                <c:formatCode>0.000</c:formatCode>
                <c:ptCount val="9"/>
                <c:pt idx="0">
                  <c:v>0.68016748728808918</c:v>
                </c:pt>
                <c:pt idx="1">
                  <c:v>0.50686948669692</c:v>
                </c:pt>
                <c:pt idx="2">
                  <c:v>0.37565388570460534</c:v>
                </c:pt>
                <c:pt idx="3">
                  <c:v>0.28245709461775931</c:v>
                </c:pt>
                <c:pt idx="4">
                  <c:v>0.21169589570714664</c:v>
                </c:pt>
                <c:pt idx="5">
                  <c:v>0.15822944149998225</c:v>
                </c:pt>
                <c:pt idx="6">
                  <c:v>0.11749927993017859</c:v>
                </c:pt>
                <c:pt idx="7">
                  <c:v>8.7708031999445532E-2</c:v>
                </c:pt>
                <c:pt idx="8">
                  <c:v>7.4021942694878218E-2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BF-45FD-997C-255CA5A5ED2C}"/>
            </c:ext>
          </c:extLst>
        </c:ser>
        <c:ser>
          <c:idx val="13"/>
          <c:order val="13"/>
          <c:tx>
            <c:strRef>
              <c:f>Inputs_Outputs!$B$140</c:f>
              <c:strCache>
                <c:ptCount val="1"/>
                <c:pt idx="0">
                  <c:v>9500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Inputs_Outputs!$C$140:$K$140</c:f>
              <c:numCache>
                <c:formatCode>0.000</c:formatCode>
                <c:ptCount val="9"/>
                <c:pt idx="0">
                  <c:v>0.72567865552635979</c:v>
                </c:pt>
                <c:pt idx="1">
                  <c:v>0.54827942858304235</c:v>
                </c:pt>
                <c:pt idx="2">
                  <c:v>0.41007542705640199</c:v>
                </c:pt>
                <c:pt idx="3">
                  <c:v>0.31475667671837787</c:v>
                </c:pt>
                <c:pt idx="4">
                  <c:v>0.24299241708070729</c:v>
                </c:pt>
                <c:pt idx="5">
                  <c:v>0.18913199073648501</c:v>
                </c:pt>
                <c:pt idx="6">
                  <c:v>0.14751284958804206</c:v>
                </c:pt>
                <c:pt idx="7">
                  <c:v>0.11734791441898906</c:v>
                </c:pt>
                <c:pt idx="8">
                  <c:v>0.10252450757468001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BF-45FD-997C-255CA5A5ED2C}"/>
            </c:ext>
          </c:extLst>
        </c:ser>
        <c:ser>
          <c:idx val="14"/>
          <c:order val="14"/>
          <c:tx>
            <c:strRef>
              <c:f>Inputs_Outputs!$B$141</c:f>
              <c:strCache>
                <c:ptCount val="1"/>
                <c:pt idx="0">
                  <c:v>10000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Inputs_Outputs!$C$141:$K$141</c:f>
              <c:numCache>
                <c:formatCode>0.000</c:formatCode>
                <c:ptCount val="9"/>
                <c:pt idx="0">
                  <c:v>0.77742557449821859</c:v>
                </c:pt>
                <c:pt idx="1">
                  <c:v>0.59228866812775793</c:v>
                </c:pt>
                <c:pt idx="2">
                  <c:v>0.44708509430820181</c:v>
                </c:pt>
                <c:pt idx="3">
                  <c:v>0.34637260867659991</c:v>
                </c:pt>
                <c:pt idx="4">
                  <c:v>0.27038211548302321</c:v>
                </c:pt>
                <c:pt idx="5">
                  <c:v>0.21325412038681391</c:v>
                </c:pt>
                <c:pt idx="6">
                  <c:v>0.16897548756807734</c:v>
                </c:pt>
                <c:pt idx="7">
                  <c:v>0.13647402511968756</c:v>
                </c:pt>
                <c:pt idx="8">
                  <c:v>0.1191688286270158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BF-45FD-997C-255CA5A5ED2C}"/>
            </c:ext>
          </c:extLst>
        </c:ser>
        <c:ser>
          <c:idx val="15"/>
          <c:order val="15"/>
          <c:tx>
            <c:strRef>
              <c:f>Inputs_Outputs!$B$142</c:f>
              <c:strCache>
                <c:ptCount val="1"/>
                <c:pt idx="0">
                  <c:v>10500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Inputs_Outputs!$C$142:$K$142</c:f>
              <c:numCache>
                <c:formatCode>0.000</c:formatCode>
                <c:ptCount val="9"/>
                <c:pt idx="0">
                  <c:v>0.82763472871531474</c:v>
                </c:pt>
                <c:pt idx="1">
                  <c:v>0.62871230643543496</c:v>
                </c:pt>
                <c:pt idx="2">
                  <c:v>0.47954371910927851</c:v>
                </c:pt>
                <c:pt idx="3">
                  <c:v>0.37174490090406226</c:v>
                </c:pt>
                <c:pt idx="4">
                  <c:v>0.29083518769213645</c:v>
                </c:pt>
                <c:pt idx="5">
                  <c:v>0.23001029826679525</c:v>
                </c:pt>
                <c:pt idx="6">
                  <c:v>0.18310832020661952</c:v>
                </c:pt>
                <c:pt idx="7">
                  <c:v>0.14813040088978394</c:v>
                </c:pt>
                <c:pt idx="8">
                  <c:v>0.12840634178502214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BF-45FD-997C-255CA5A5ED2C}"/>
            </c:ext>
          </c:extLst>
        </c:ser>
        <c:ser>
          <c:idx val="16"/>
          <c:order val="16"/>
          <c:tx>
            <c:strRef>
              <c:f>Inputs_Outputs!$B$143</c:f>
              <c:strCache>
                <c:ptCount val="1"/>
                <c:pt idx="0">
                  <c:v>11000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Inputs_Outputs!$C$143:$K$143</c:f>
              <c:numCache>
                <c:formatCode>0.000</c:formatCode>
                <c:ptCount val="9"/>
                <c:pt idx="0">
                  <c:v>0.83888146407477748</c:v>
                </c:pt>
                <c:pt idx="1">
                  <c:v>0.63484627483991252</c:v>
                </c:pt>
                <c:pt idx="2">
                  <c:v>0.48312229174540194</c:v>
                </c:pt>
                <c:pt idx="3">
                  <c:v>0.3728773429029959</c:v>
                </c:pt>
                <c:pt idx="4">
                  <c:v>0.29124325145494634</c:v>
                </c:pt>
                <c:pt idx="5">
                  <c:v>0.22939667607042455</c:v>
                </c:pt>
                <c:pt idx="6">
                  <c:v>0.18210446221952098</c:v>
                </c:pt>
                <c:pt idx="7">
                  <c:v>0.14699099547651673</c:v>
                </c:pt>
                <c:pt idx="8">
                  <c:v>0.12760799640849549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BF-45FD-997C-255CA5A5ED2C}"/>
            </c:ext>
          </c:extLst>
        </c:ser>
        <c:ser>
          <c:idx val="17"/>
          <c:order val="17"/>
          <c:tx>
            <c:strRef>
              <c:f>Inputs_Outputs!$B$144</c:f>
              <c:strCache>
                <c:ptCount val="1"/>
                <c:pt idx="0">
                  <c:v>11500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Inputs_Outputs!$C$144:$K$144</c:f>
              <c:numCache>
                <c:formatCode>0.000</c:formatCode>
                <c:ptCount val="9"/>
                <c:pt idx="0">
                  <c:v>0.88237986854179462</c:v>
                </c:pt>
                <c:pt idx="1">
                  <c:v>0.66177789938096621</c:v>
                </c:pt>
                <c:pt idx="2">
                  <c:v>0.50544198448677358</c:v>
                </c:pt>
                <c:pt idx="3">
                  <c:v>0.38784422891622161</c:v>
                </c:pt>
                <c:pt idx="4">
                  <c:v>0.3011747023338251</c:v>
                </c:pt>
                <c:pt idx="5">
                  <c:v>0.23566660520018418</c:v>
                </c:pt>
                <c:pt idx="6">
                  <c:v>0.18559392659333657</c:v>
                </c:pt>
                <c:pt idx="7">
                  <c:v>0.1485125636143457</c:v>
                </c:pt>
                <c:pt idx="8">
                  <c:v>0.12702549714555009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BF-45FD-997C-255CA5A5ED2C}"/>
            </c:ext>
          </c:extLst>
        </c:ser>
        <c:ser>
          <c:idx val="18"/>
          <c:order val="18"/>
          <c:tx>
            <c:strRef>
              <c:f>Inputs_Outputs!$B$145</c:f>
              <c:strCache>
                <c:ptCount val="1"/>
                <c:pt idx="0">
                  <c:v>12000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Inputs_Outputs!$C$145:$K$145</c:f>
              <c:numCache>
                <c:formatCode>0.000</c:formatCode>
                <c:ptCount val="9"/>
                <c:pt idx="0">
                  <c:v>0.93232757630136553</c:v>
                </c:pt>
                <c:pt idx="1">
                  <c:v>0.69062843362070669</c:v>
                </c:pt>
                <c:pt idx="2">
                  <c:v>0.52600111760607948</c:v>
                </c:pt>
                <c:pt idx="3">
                  <c:v>0.40124746420996066</c:v>
                </c:pt>
                <c:pt idx="4">
                  <c:v>0.30858938882673165</c:v>
                </c:pt>
                <c:pt idx="5">
                  <c:v>0.23881309889680394</c:v>
                </c:pt>
                <c:pt idx="6">
                  <c:v>0.18556895436125437</c:v>
                </c:pt>
                <c:pt idx="7">
                  <c:v>0.1457419868120422</c:v>
                </c:pt>
                <c:pt idx="8">
                  <c:v>0.12213435683803157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BF-45FD-997C-255CA5A5ED2C}"/>
            </c:ext>
          </c:extLst>
        </c:ser>
        <c:ser>
          <c:idx val="19"/>
          <c:order val="19"/>
          <c:tx>
            <c:strRef>
              <c:f>Inputs_Outputs!$B$146</c:f>
              <c:strCache>
                <c:ptCount val="1"/>
                <c:pt idx="0">
                  <c:v>12500</c:v>
                </c:pt>
              </c:strCache>
            </c:strRef>
          </c:tx>
          <c:spPr>
            <a:ln/>
            <a:effectLst/>
          </c:spPr>
          <c:cat>
            <c:numRef>
              <c:f>Inputs_Outputs!$C$126:$K$126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Inputs_Outputs!$C$146:$K$146</c:f>
              <c:numCache>
                <c:formatCode>0.000</c:formatCode>
                <c:ptCount val="9"/>
                <c:pt idx="0">
                  <c:v>1</c:v>
                </c:pt>
                <c:pt idx="1">
                  <c:v>0.73439919477488558</c:v>
                </c:pt>
                <c:pt idx="2">
                  <c:v>0.55593253878179116</c:v>
                </c:pt>
                <c:pt idx="3">
                  <c:v>0.42753377012594423</c:v>
                </c:pt>
                <c:pt idx="4">
                  <c:v>0.32822308097630498</c:v>
                </c:pt>
                <c:pt idx="5">
                  <c:v>0.25371698880573013</c:v>
                </c:pt>
                <c:pt idx="6">
                  <c:v>0.19696138541573158</c:v>
                </c:pt>
                <c:pt idx="7">
                  <c:v>0.15439020572132611</c:v>
                </c:pt>
                <c:pt idx="8">
                  <c:v>0.12837939925093833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BF-45FD-997C-255CA5A5ED2C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206879744"/>
        <c:axId val="206886016"/>
        <c:axId val="206624960"/>
      </c:surface3DChart>
      <c:catAx>
        <c:axId val="206879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Mach number</a:t>
                </a:r>
              </a:p>
            </c:rich>
          </c:tx>
          <c:layout>
            <c:manualLayout>
              <c:xMode val="edge"/>
              <c:yMode val="edge"/>
              <c:x val="0.35700288505841676"/>
              <c:y val="0.8276989610889874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86016"/>
        <c:crosses val="autoZero"/>
        <c:auto val="1"/>
        <c:lblAlgn val="ctr"/>
        <c:lblOffset val="100"/>
        <c:noMultiLvlLbl val="0"/>
      </c:catAx>
      <c:valAx>
        <c:axId val="20688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Combined values (normalized)</a:t>
                </a:r>
              </a:p>
            </c:rich>
          </c:tx>
          <c:layout>
            <c:manualLayout>
              <c:xMode val="edge"/>
              <c:yMode val="edge"/>
              <c:x val="0.16090790907052899"/>
              <c:y val="0.2613323609023793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79744"/>
        <c:crosses val="autoZero"/>
        <c:crossBetween val="midCat"/>
      </c:valAx>
      <c:serAx>
        <c:axId val="20662496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Altitude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86016"/>
        <c:crosses val="autoZero"/>
        <c:tickLblSkip val="2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248899092800652E-2"/>
          <c:y val="1.6856839265911302E-2"/>
          <c:w val="0.89247088186356049"/>
          <c:h val="0.84325302319938999"/>
        </c:manualLayout>
      </c:layout>
      <c:surface3DChart>
        <c:wireframe val="1"/>
        <c:ser>
          <c:idx val="0"/>
          <c:order val="0"/>
          <c:tx>
            <c:strRef>
              <c:f>Inputs_Outputs!$B$77</c:f>
              <c:strCache>
                <c:ptCount val="1"/>
                <c:pt idx="0">
                  <c:v>3000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Inputs_Outputs!$C$77:$K$77</c:f>
              <c:numCache>
                <c:formatCode>0.000</c:formatCode>
                <c:ptCount val="9"/>
                <c:pt idx="0">
                  <c:v>0.26636103586506144</c:v>
                </c:pt>
                <c:pt idx="1">
                  <c:v>0.24806751295167165</c:v>
                </c:pt>
                <c:pt idx="2">
                  <c:v>0.23467190231989052</c:v>
                </c:pt>
                <c:pt idx="3">
                  <c:v>0.2241715702923249</c:v>
                </c:pt>
                <c:pt idx="4">
                  <c:v>0.21576685554791311</c:v>
                </c:pt>
                <c:pt idx="5">
                  <c:v>0.20912118938045932</c:v>
                </c:pt>
                <c:pt idx="6">
                  <c:v>0.20386969120058926</c:v>
                </c:pt>
                <c:pt idx="7">
                  <c:v>0.19992905507680037</c:v>
                </c:pt>
                <c:pt idx="8">
                  <c:v>0.19796049499888341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E-4A6D-965C-8A372745163A}"/>
            </c:ext>
          </c:extLst>
        </c:ser>
        <c:ser>
          <c:idx val="1"/>
          <c:order val="1"/>
          <c:tx>
            <c:strRef>
              <c:f>Inputs_Outputs!$B$78</c:f>
              <c:strCache>
                <c:ptCount val="1"/>
                <c:pt idx="0">
                  <c:v>3500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Inputs_Outputs!$C$78:$K$78</c:f>
              <c:numCache>
                <c:formatCode>0.000</c:formatCode>
                <c:ptCount val="9"/>
                <c:pt idx="0">
                  <c:v>0.26947618847935711</c:v>
                </c:pt>
                <c:pt idx="1">
                  <c:v>0.2507502129227358</c:v>
                </c:pt>
                <c:pt idx="2">
                  <c:v>0.23707752071257046</c:v>
                </c:pt>
                <c:pt idx="3">
                  <c:v>0.22630134598601004</c:v>
                </c:pt>
                <c:pt idx="4">
                  <c:v>0.21772256207982627</c:v>
                </c:pt>
                <c:pt idx="5">
                  <c:v>0.21090893569239458</c:v>
                </c:pt>
                <c:pt idx="6">
                  <c:v>0.20544137278319941</c:v>
                </c:pt>
                <c:pt idx="7">
                  <c:v>0.20131797267779222</c:v>
                </c:pt>
                <c:pt idx="8">
                  <c:v>0.19904672976117396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E-4A6D-965C-8A372745163A}"/>
            </c:ext>
          </c:extLst>
        </c:ser>
        <c:ser>
          <c:idx val="2"/>
          <c:order val="2"/>
          <c:tx>
            <c:strRef>
              <c:f>Inputs_Outputs!$B$79</c:f>
              <c:strCache>
                <c:ptCount val="1"/>
                <c:pt idx="0">
                  <c:v>4000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Inputs_Outputs!$C$79:$K$79</c:f>
              <c:numCache>
                <c:formatCode>0.000</c:formatCode>
                <c:ptCount val="9"/>
                <c:pt idx="0">
                  <c:v>0.27081487427549261</c:v>
                </c:pt>
                <c:pt idx="1">
                  <c:v>0.25182847712691514</c:v>
                </c:pt>
                <c:pt idx="2">
                  <c:v>0.23790436765604636</c:v>
                </c:pt>
                <c:pt idx="3">
                  <c:v>0.22709196152939704</c:v>
                </c:pt>
                <c:pt idx="4">
                  <c:v>0.21841168885113207</c:v>
                </c:pt>
                <c:pt idx="5">
                  <c:v>0.21149290902892501</c:v>
                </c:pt>
                <c:pt idx="6">
                  <c:v>0.20591246457200502</c:v>
                </c:pt>
                <c:pt idx="7">
                  <c:v>0.20165338276939099</c:v>
                </c:pt>
                <c:pt idx="8">
                  <c:v>0.19921003154689984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9E-4A6D-965C-8A372745163A}"/>
            </c:ext>
          </c:extLst>
        </c:ser>
        <c:ser>
          <c:idx val="3"/>
          <c:order val="3"/>
          <c:tx>
            <c:strRef>
              <c:f>Inputs_Outputs!$B$80</c:f>
              <c:strCache>
                <c:ptCount val="1"/>
                <c:pt idx="0">
                  <c:v>4500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Inputs_Outputs!$C$80:$K$80</c:f>
              <c:numCache>
                <c:formatCode>0.000</c:formatCode>
                <c:ptCount val="9"/>
                <c:pt idx="0">
                  <c:v>0.27230955597995382</c:v>
                </c:pt>
                <c:pt idx="1">
                  <c:v>0.25294010021679425</c:v>
                </c:pt>
                <c:pt idx="2">
                  <c:v>0.23874439199240499</c:v>
                </c:pt>
                <c:pt idx="3">
                  <c:v>0.22781965436459897</c:v>
                </c:pt>
                <c:pt idx="4">
                  <c:v>0.21904017263311371</c:v>
                </c:pt>
                <c:pt idx="5">
                  <c:v>0.21202013029622155</c:v>
                </c:pt>
                <c:pt idx="6">
                  <c:v>0.2063323669177671</c:v>
                </c:pt>
                <c:pt idx="7">
                  <c:v>0.20189986071043295</c:v>
                </c:pt>
                <c:pt idx="8">
                  <c:v>0.19926075807903404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9E-4A6D-965C-8A372745163A}"/>
            </c:ext>
          </c:extLst>
        </c:ser>
        <c:ser>
          <c:idx val="4"/>
          <c:order val="4"/>
          <c:tx>
            <c:strRef>
              <c:f>Inputs_Outputs!$B$81</c:f>
              <c:strCache>
                <c:ptCount val="1"/>
                <c:pt idx="0">
                  <c:v>5000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Inputs_Outputs!$C$81:$K$81</c:f>
              <c:numCache>
                <c:formatCode>0.000</c:formatCode>
                <c:ptCount val="9"/>
                <c:pt idx="0">
                  <c:v>0.27393257066285542</c:v>
                </c:pt>
                <c:pt idx="1">
                  <c:v>0.25416435135529292</c:v>
                </c:pt>
                <c:pt idx="2">
                  <c:v>0.2397524565197493</c:v>
                </c:pt>
                <c:pt idx="3">
                  <c:v>0.22862191412345606</c:v>
                </c:pt>
                <c:pt idx="4">
                  <c:v>0.21973336559398229</c:v>
                </c:pt>
                <c:pt idx="5">
                  <c:v>0.21255036336328081</c:v>
                </c:pt>
                <c:pt idx="6">
                  <c:v>0.20675739099744683</c:v>
                </c:pt>
                <c:pt idx="7">
                  <c:v>0.20224789541830121</c:v>
                </c:pt>
                <c:pt idx="8">
                  <c:v>0.19937381585540734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9E-4A6D-965C-8A372745163A}"/>
            </c:ext>
          </c:extLst>
        </c:ser>
        <c:ser>
          <c:idx val="5"/>
          <c:order val="5"/>
          <c:tx>
            <c:strRef>
              <c:f>Inputs_Outputs!$B$82</c:f>
              <c:strCache>
                <c:ptCount val="1"/>
                <c:pt idx="0">
                  <c:v>5500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Inputs_Outputs!$C$82:$K$82</c:f>
              <c:numCache>
                <c:formatCode>0.000</c:formatCode>
                <c:ptCount val="9"/>
                <c:pt idx="0">
                  <c:v>0.27565246818966688</c:v>
                </c:pt>
                <c:pt idx="1">
                  <c:v>0.2555617711210138</c:v>
                </c:pt>
                <c:pt idx="2">
                  <c:v>0.24074049091085331</c:v>
                </c:pt>
                <c:pt idx="3">
                  <c:v>0.22946990533963885</c:v>
                </c:pt>
                <c:pt idx="4">
                  <c:v>0.22040121367603832</c:v>
                </c:pt>
                <c:pt idx="5">
                  <c:v>0.21311124235815651</c:v>
                </c:pt>
                <c:pt idx="6">
                  <c:v>0.20721084760800904</c:v>
                </c:pt>
                <c:pt idx="7">
                  <c:v>0.20253266892685842</c:v>
                </c:pt>
                <c:pt idx="8">
                  <c:v>0.19943654225842217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9E-4A6D-965C-8A372745163A}"/>
            </c:ext>
          </c:extLst>
        </c:ser>
        <c:ser>
          <c:idx val="6"/>
          <c:order val="6"/>
          <c:tx>
            <c:strRef>
              <c:f>Inputs_Outputs!$B$83</c:f>
              <c:strCache>
                <c:ptCount val="1"/>
                <c:pt idx="0">
                  <c:v>6000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Inputs_Outputs!$C$83:$K$83</c:f>
              <c:numCache>
                <c:formatCode>0.000</c:formatCode>
                <c:ptCount val="9"/>
                <c:pt idx="0">
                  <c:v>0.27732430072877601</c:v>
                </c:pt>
                <c:pt idx="1">
                  <c:v>0.25691359093495797</c:v>
                </c:pt>
                <c:pt idx="2">
                  <c:v>0.2417551781709969</c:v>
                </c:pt>
                <c:pt idx="3">
                  <c:v>0.23026030152723748</c:v>
                </c:pt>
                <c:pt idx="4">
                  <c:v>0.22107176314152824</c:v>
                </c:pt>
                <c:pt idx="5">
                  <c:v>0.21361245812454202</c:v>
                </c:pt>
                <c:pt idx="6">
                  <c:v>0.20755530902389729</c:v>
                </c:pt>
                <c:pt idx="7">
                  <c:v>0.20271624885650474</c:v>
                </c:pt>
                <c:pt idx="8">
                  <c:v>0.19945405174560088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9E-4A6D-965C-8A372745163A}"/>
            </c:ext>
          </c:extLst>
        </c:ser>
        <c:ser>
          <c:idx val="7"/>
          <c:order val="7"/>
          <c:tx>
            <c:strRef>
              <c:f>Inputs_Outputs!$B$84</c:f>
              <c:strCache>
                <c:ptCount val="1"/>
                <c:pt idx="0">
                  <c:v>6500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Inputs_Outputs!$C$84:$K$84</c:f>
              <c:numCache>
                <c:formatCode>0.000</c:formatCode>
                <c:ptCount val="9"/>
                <c:pt idx="0">
                  <c:v>0.27925785308423867</c:v>
                </c:pt>
                <c:pt idx="1">
                  <c:v>0.25839336495274789</c:v>
                </c:pt>
                <c:pt idx="2">
                  <c:v>0.24287680942667805</c:v>
                </c:pt>
                <c:pt idx="3">
                  <c:v>0.23121172305196194</c:v>
                </c:pt>
                <c:pt idx="4">
                  <c:v>0.22182061875610468</c:v>
                </c:pt>
                <c:pt idx="5">
                  <c:v>0.21418337334724444</c:v>
                </c:pt>
                <c:pt idx="6">
                  <c:v>0.20796408155275609</c:v>
                </c:pt>
                <c:pt idx="7">
                  <c:v>0.20296207249502818</c:v>
                </c:pt>
                <c:pt idx="8">
                  <c:v>0.19953796239348096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9E-4A6D-965C-8A372745163A}"/>
            </c:ext>
          </c:extLst>
        </c:ser>
        <c:ser>
          <c:idx val="8"/>
          <c:order val="8"/>
          <c:tx>
            <c:strRef>
              <c:f>Inputs_Outputs!$B$85</c:f>
              <c:strCache>
                <c:ptCount val="1"/>
                <c:pt idx="0">
                  <c:v>7000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Inputs_Outputs!$C$85:$K$85</c:f>
              <c:numCache>
                <c:formatCode>0.000</c:formatCode>
                <c:ptCount val="9"/>
                <c:pt idx="0">
                  <c:v>0.28127331775639813</c:v>
                </c:pt>
                <c:pt idx="1">
                  <c:v>0.25993221829910779</c:v>
                </c:pt>
                <c:pt idx="2">
                  <c:v>0.2440371751465398</c:v>
                </c:pt>
                <c:pt idx="3">
                  <c:v>0.23211277333830255</c:v>
                </c:pt>
                <c:pt idx="4">
                  <c:v>0.22244963645768834</c:v>
                </c:pt>
                <c:pt idx="5">
                  <c:v>0.21469568818955867</c:v>
                </c:pt>
                <c:pt idx="6">
                  <c:v>0.20831344253323503</c:v>
                </c:pt>
                <c:pt idx="7">
                  <c:v>0.20315005006012599</c:v>
                </c:pt>
                <c:pt idx="8">
                  <c:v>0.19948179514553457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9E-4A6D-965C-8A372745163A}"/>
            </c:ext>
          </c:extLst>
        </c:ser>
        <c:ser>
          <c:idx val="9"/>
          <c:order val="9"/>
          <c:tx>
            <c:strRef>
              <c:f>Inputs_Outputs!$B$86</c:f>
              <c:strCache>
                <c:ptCount val="1"/>
                <c:pt idx="0">
                  <c:v>7500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Inputs_Outputs!$C$86:$K$86</c:f>
              <c:numCache>
                <c:formatCode>0.000</c:formatCode>
                <c:ptCount val="9"/>
                <c:pt idx="0">
                  <c:v>0.28345508034500438</c:v>
                </c:pt>
                <c:pt idx="1">
                  <c:v>0.26161240117419587</c:v>
                </c:pt>
                <c:pt idx="2">
                  <c:v>0.24531924185784876</c:v>
                </c:pt>
                <c:pt idx="3">
                  <c:v>0.2331165990131375</c:v>
                </c:pt>
                <c:pt idx="4">
                  <c:v>0.22329586492426445</c:v>
                </c:pt>
                <c:pt idx="5">
                  <c:v>0.21528756411850239</c:v>
                </c:pt>
                <c:pt idx="6">
                  <c:v>0.20873603646964228</c:v>
                </c:pt>
                <c:pt idx="7">
                  <c:v>0.20340809543276545</c:v>
                </c:pt>
                <c:pt idx="8">
                  <c:v>0.19954162515276769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9E-4A6D-965C-8A372745163A}"/>
            </c:ext>
          </c:extLst>
        </c:ser>
        <c:ser>
          <c:idx val="10"/>
          <c:order val="10"/>
          <c:tx>
            <c:strRef>
              <c:f>Inputs_Outputs!$B$87</c:f>
              <c:strCache>
                <c:ptCount val="1"/>
                <c:pt idx="0">
                  <c:v>8000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Inputs_Outputs!$C$87:$K$87</c:f>
              <c:numCache>
                <c:formatCode>0.000</c:formatCode>
                <c:ptCount val="9"/>
                <c:pt idx="0">
                  <c:v>0.28577040685948646</c:v>
                </c:pt>
                <c:pt idx="1">
                  <c:v>0.26350272911221073</c:v>
                </c:pt>
                <c:pt idx="2">
                  <c:v>0.24677728728498241</c:v>
                </c:pt>
                <c:pt idx="3">
                  <c:v>0.23419198312480052</c:v>
                </c:pt>
                <c:pt idx="4">
                  <c:v>0.22413465677380301</c:v>
                </c:pt>
                <c:pt idx="5">
                  <c:v>0.21592544518212098</c:v>
                </c:pt>
                <c:pt idx="6">
                  <c:v>0.20914419411786997</c:v>
                </c:pt>
                <c:pt idx="7">
                  <c:v>0.20365203571707041</c:v>
                </c:pt>
                <c:pt idx="8">
                  <c:v>0.1995917536821514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19E-4A6D-965C-8A372745163A}"/>
            </c:ext>
          </c:extLst>
        </c:ser>
        <c:ser>
          <c:idx val="11"/>
          <c:order val="11"/>
          <c:tx>
            <c:strRef>
              <c:f>Inputs_Outputs!$B$88</c:f>
              <c:strCache>
                <c:ptCount val="1"/>
                <c:pt idx="0">
                  <c:v>8500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Inputs_Outputs!$C$88:$K$88</c:f>
              <c:numCache>
                <c:formatCode>0.000</c:formatCode>
                <c:ptCount val="9"/>
                <c:pt idx="0">
                  <c:v>0.28703847304711033</c:v>
                </c:pt>
                <c:pt idx="1">
                  <c:v>0.26537817853916096</c:v>
                </c:pt>
                <c:pt idx="2">
                  <c:v>0.24821490808139665</c:v>
                </c:pt>
                <c:pt idx="3">
                  <c:v>0.2353056767239213</c:v>
                </c:pt>
                <c:pt idx="4">
                  <c:v>0.22492800795572648</c:v>
                </c:pt>
                <c:pt idx="5">
                  <c:v>0.21645244406207481</c:v>
                </c:pt>
                <c:pt idx="6">
                  <c:v>0.20949558331642637</c:v>
                </c:pt>
                <c:pt idx="7">
                  <c:v>0.20378870679963698</c:v>
                </c:pt>
                <c:pt idx="8">
                  <c:v>0.19954077352001673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9E-4A6D-965C-8A372745163A}"/>
            </c:ext>
          </c:extLst>
        </c:ser>
        <c:ser>
          <c:idx val="12"/>
          <c:order val="12"/>
          <c:tx>
            <c:strRef>
              <c:f>Inputs_Outputs!$B$89</c:f>
              <c:strCache>
                <c:ptCount val="1"/>
                <c:pt idx="0">
                  <c:v>9000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Inputs_Outputs!$C$89:$K$89</c:f>
              <c:numCache>
                <c:formatCode>0.000</c:formatCode>
                <c:ptCount val="9"/>
                <c:pt idx="0">
                  <c:v>0.28837659477568905</c:v>
                </c:pt>
                <c:pt idx="1">
                  <c:v>0.26752202904477146</c:v>
                </c:pt>
                <c:pt idx="2">
                  <c:v>0.24980154697175508</c:v>
                </c:pt>
                <c:pt idx="3">
                  <c:v>0.23654629402798324</c:v>
                </c:pt>
                <c:pt idx="4">
                  <c:v>0.2258311943154678</c:v>
                </c:pt>
                <c:pt idx="5">
                  <c:v>0.21713635056760641</c:v>
                </c:pt>
                <c:pt idx="6">
                  <c:v>0.20999042256385195</c:v>
                </c:pt>
                <c:pt idx="7">
                  <c:v>0.20405899140028508</c:v>
                </c:pt>
                <c:pt idx="8">
                  <c:v>0.19957401063813243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19E-4A6D-965C-8A372745163A}"/>
            </c:ext>
          </c:extLst>
        </c:ser>
        <c:ser>
          <c:idx val="13"/>
          <c:order val="13"/>
          <c:tx>
            <c:strRef>
              <c:f>Inputs_Outputs!$B$90</c:f>
              <c:strCache>
                <c:ptCount val="1"/>
                <c:pt idx="0">
                  <c:v>9500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Inputs_Outputs!$C$90:$K$90</c:f>
              <c:numCache>
                <c:formatCode>0.000</c:formatCode>
                <c:ptCount val="9"/>
                <c:pt idx="0">
                  <c:v>0.28971430279761873</c:v>
                </c:pt>
                <c:pt idx="1">
                  <c:v>0.26966926727497958</c:v>
                </c:pt>
                <c:pt idx="2">
                  <c:v>0.25159944387591815</c:v>
                </c:pt>
                <c:pt idx="3">
                  <c:v>0.23860412712598197</c:v>
                </c:pt>
                <c:pt idx="4">
                  <c:v>0.22817442042131722</c:v>
                </c:pt>
                <c:pt idx="5">
                  <c:v>0.21977436995109834</c:v>
                </c:pt>
                <c:pt idx="6">
                  <c:v>0.21276040384054251</c:v>
                </c:pt>
                <c:pt idx="7">
                  <c:v>0.20703014374106335</c:v>
                </c:pt>
                <c:pt idx="8">
                  <c:v>0.20263273482132679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19E-4A6D-965C-8A372745163A}"/>
            </c:ext>
          </c:extLst>
        </c:ser>
        <c:ser>
          <c:idx val="14"/>
          <c:order val="14"/>
          <c:tx>
            <c:strRef>
              <c:f>Inputs_Outputs!$B$91</c:f>
              <c:strCache>
                <c:ptCount val="1"/>
                <c:pt idx="0">
                  <c:v>10000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Inputs_Outputs!$C$91:$K$91</c:f>
              <c:numCache>
                <c:formatCode>0.000</c:formatCode>
                <c:ptCount val="9"/>
                <c:pt idx="0">
                  <c:v>0.29125059970571598</c:v>
                </c:pt>
                <c:pt idx="1">
                  <c:v>0.27164850661912832</c:v>
                </c:pt>
                <c:pt idx="2">
                  <c:v>0.2534171795948012</c:v>
                </c:pt>
                <c:pt idx="3">
                  <c:v>0.24016363310227257</c:v>
                </c:pt>
                <c:pt idx="4">
                  <c:v>0.22946781301862987</c:v>
                </c:pt>
                <c:pt idx="5">
                  <c:v>0.22085150341253271</c:v>
                </c:pt>
                <c:pt idx="6">
                  <c:v>0.21365395395116707</c:v>
                </c:pt>
                <c:pt idx="7">
                  <c:v>0.20775763944340736</c:v>
                </c:pt>
                <c:pt idx="8">
                  <c:v>0.20317999470424583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19E-4A6D-965C-8A372745163A}"/>
            </c:ext>
          </c:extLst>
        </c:ser>
        <c:ser>
          <c:idx val="15"/>
          <c:order val="15"/>
          <c:tx>
            <c:strRef>
              <c:f>Inputs_Outputs!$B$92</c:f>
              <c:strCache>
                <c:ptCount val="1"/>
                <c:pt idx="0">
                  <c:v>10500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Inputs_Outputs!$C$92:$K$92</c:f>
              <c:numCache>
                <c:formatCode>0.000</c:formatCode>
                <c:ptCount val="9"/>
                <c:pt idx="0">
                  <c:v>0.29270195374206381</c:v>
                </c:pt>
                <c:pt idx="1">
                  <c:v>0.27296443730982811</c:v>
                </c:pt>
                <c:pt idx="2">
                  <c:v>0.2554857145235776</c:v>
                </c:pt>
                <c:pt idx="3">
                  <c:v>0.24184056602228571</c:v>
                </c:pt>
                <c:pt idx="4">
                  <c:v>0.23086420210404793</c:v>
                </c:pt>
                <c:pt idx="5">
                  <c:v>0.22202164516716513</c:v>
                </c:pt>
                <c:pt idx="6">
                  <c:v>0.21469054045431402</c:v>
                </c:pt>
                <c:pt idx="7">
                  <c:v>0.20861964366019636</c:v>
                </c:pt>
                <c:pt idx="8">
                  <c:v>0.20385778518556125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9E-4A6D-965C-8A372745163A}"/>
            </c:ext>
          </c:extLst>
        </c:ser>
        <c:ser>
          <c:idx val="16"/>
          <c:order val="16"/>
          <c:tx>
            <c:strRef>
              <c:f>Inputs_Outputs!$B$93</c:f>
              <c:strCache>
                <c:ptCount val="1"/>
                <c:pt idx="0">
                  <c:v>11000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Inputs_Outputs!$C$93:$K$93</c:f>
              <c:numCache>
                <c:formatCode>0.000</c:formatCode>
                <c:ptCount val="9"/>
                <c:pt idx="0">
                  <c:v>0.29392530146399976</c:v>
                </c:pt>
                <c:pt idx="1">
                  <c:v>0.27400921789154964</c:v>
                </c:pt>
                <c:pt idx="2">
                  <c:v>0.25646402426753268</c:v>
                </c:pt>
                <c:pt idx="3">
                  <c:v>0.24258489386380189</c:v>
                </c:pt>
                <c:pt idx="4">
                  <c:v>0.23160446021393954</c:v>
                </c:pt>
                <c:pt idx="5">
                  <c:v>0.22263258835333552</c:v>
                </c:pt>
                <c:pt idx="6">
                  <c:v>0.21525114633642328</c:v>
                </c:pt>
                <c:pt idx="7">
                  <c:v>0.2091373473147716</c:v>
                </c:pt>
                <c:pt idx="8">
                  <c:v>0.20434054511610766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9E-4A6D-965C-8A372745163A}"/>
            </c:ext>
          </c:extLst>
        </c:ser>
        <c:ser>
          <c:idx val="17"/>
          <c:order val="17"/>
          <c:tx>
            <c:strRef>
              <c:f>Inputs_Outputs!$B$94</c:f>
              <c:strCache>
                <c:ptCount val="1"/>
                <c:pt idx="0">
                  <c:v>11500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Inputs_Outputs!$C$94:$K$94</c:f>
              <c:numCache>
                <c:formatCode>0.000</c:formatCode>
                <c:ptCount val="9"/>
                <c:pt idx="0">
                  <c:v>0.29414810809171527</c:v>
                </c:pt>
                <c:pt idx="1">
                  <c:v>0.27417264623228466</c:v>
                </c:pt>
                <c:pt idx="2">
                  <c:v>0.25758253593303426</c:v>
                </c:pt>
                <c:pt idx="3">
                  <c:v>0.24344649672231838</c:v>
                </c:pt>
                <c:pt idx="4">
                  <c:v>0.23227337076624463</c:v>
                </c:pt>
                <c:pt idx="5">
                  <c:v>0.22314740226327537</c:v>
                </c:pt>
                <c:pt idx="6">
                  <c:v>0.21563825123624653</c:v>
                </c:pt>
                <c:pt idx="7">
                  <c:v>0.20946225812198777</c:v>
                </c:pt>
                <c:pt idx="8">
                  <c:v>0.20453273720820753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19E-4A6D-965C-8A372745163A}"/>
            </c:ext>
          </c:extLst>
        </c:ser>
        <c:ser>
          <c:idx val="18"/>
          <c:order val="18"/>
          <c:tx>
            <c:strRef>
              <c:f>Inputs_Outputs!$B$95</c:f>
              <c:strCache>
                <c:ptCount val="1"/>
                <c:pt idx="0">
                  <c:v>12000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Inputs_Outputs!$C$95:$K$95</c:f>
              <c:numCache>
                <c:formatCode>0.000</c:formatCode>
                <c:ptCount val="9"/>
                <c:pt idx="0">
                  <c:v>0.2943443181860057</c:v>
                </c:pt>
                <c:pt idx="1">
                  <c:v>0.27430890843839695</c:v>
                </c:pt>
                <c:pt idx="2">
                  <c:v>0.25844189390009698</c:v>
                </c:pt>
                <c:pt idx="3">
                  <c:v>0.24436817523114462</c:v>
                </c:pt>
                <c:pt idx="4">
                  <c:v>0.2329923674085525</c:v>
                </c:pt>
                <c:pt idx="5">
                  <c:v>0.22370554582119176</c:v>
                </c:pt>
                <c:pt idx="6">
                  <c:v>0.21606424954086129</c:v>
                </c:pt>
                <c:pt idx="7">
                  <c:v>0.2097183811781746</c:v>
                </c:pt>
                <c:pt idx="8">
                  <c:v>0.20466488144310233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19E-4A6D-965C-8A372745163A}"/>
            </c:ext>
          </c:extLst>
        </c:ser>
        <c:ser>
          <c:idx val="19"/>
          <c:order val="19"/>
          <c:tx>
            <c:strRef>
              <c:f>Inputs_Outputs!$B$96</c:f>
              <c:strCache>
                <c:ptCount val="1"/>
                <c:pt idx="0">
                  <c:v>12500</c:v>
                </c:pt>
              </c:strCache>
            </c:strRef>
          </c:tx>
          <c:spPr>
            <a:ln/>
            <a:effectLst/>
          </c:spPr>
          <c:cat>
            <c:numRef>
              <c:f>Inputs_Outputs!$C$76:$K$76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Inputs_Outputs!$C$96:$K$96</c:f>
              <c:numCache>
                <c:formatCode>0.000</c:formatCode>
                <c:ptCount val="9"/>
                <c:pt idx="0">
                  <c:v>0.2945892556757585</c:v>
                </c:pt>
                <c:pt idx="1">
                  <c:v>0.27449430639297601</c:v>
                </c:pt>
                <c:pt idx="2">
                  <c:v>0.25858055575791777</c:v>
                </c:pt>
                <c:pt idx="3">
                  <c:v>0.24542955679140663</c:v>
                </c:pt>
                <c:pt idx="4">
                  <c:v>0.23384026562351096</c:v>
                </c:pt>
                <c:pt idx="5">
                  <c:v>0.22438512249405276</c:v>
                </c:pt>
                <c:pt idx="6">
                  <c:v>0.21660662082532053</c:v>
                </c:pt>
                <c:pt idx="7">
                  <c:v>0.21014066682626945</c:v>
                </c:pt>
                <c:pt idx="8">
                  <c:v>0.20495958479946944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19E-4A6D-965C-8A372745163A}"/>
            </c:ext>
          </c:extLst>
        </c:ser>
        <c:bandFmts>
          <c:bandFmt>
            <c:idx val="0"/>
            <c:spPr>
              <a:ln/>
              <a:effectLst/>
            </c:spPr>
          </c:bandFmt>
          <c:bandFmt>
            <c:idx val="1"/>
            <c:spPr>
              <a:ln/>
              <a:effectLst/>
            </c:spPr>
          </c:bandFmt>
          <c:bandFmt>
            <c:idx val="2"/>
            <c:spPr>
              <a:ln/>
              <a:effectLst/>
            </c:spPr>
          </c:bandFmt>
          <c:bandFmt>
            <c:idx val="3"/>
            <c:spPr>
              <a:ln/>
              <a:effectLst/>
            </c:spPr>
          </c:bandFmt>
          <c:bandFmt>
            <c:idx val="4"/>
            <c:spPr>
              <a:ln/>
              <a:effectLst/>
            </c:spPr>
          </c:bandFmt>
          <c:bandFmt>
            <c:idx val="5"/>
            <c:spPr>
              <a:ln/>
              <a:effectLst/>
            </c:spPr>
          </c:bandFmt>
          <c:bandFmt>
            <c:idx val="6"/>
            <c:spPr>
              <a:ln/>
              <a:effectLst/>
            </c:spPr>
          </c:bandFmt>
          <c:bandFmt>
            <c:idx val="7"/>
            <c:spPr>
              <a:ln/>
              <a:effectLst/>
            </c:spPr>
          </c:bandFmt>
          <c:bandFmt>
            <c:idx val="8"/>
            <c:spPr>
              <a:ln/>
              <a:effectLst/>
            </c:spPr>
          </c:bandFmt>
          <c:bandFmt>
            <c:idx val="9"/>
            <c:spPr>
              <a:ln/>
              <a:effectLst/>
            </c:spPr>
          </c:bandFmt>
          <c:bandFmt>
            <c:idx val="10"/>
            <c:spPr>
              <a:ln/>
              <a:effectLst/>
            </c:spPr>
          </c:bandFmt>
          <c:bandFmt>
            <c:idx val="11"/>
            <c:spPr>
              <a:ln/>
              <a:effectLst/>
            </c:spPr>
          </c:bandFmt>
          <c:bandFmt>
            <c:idx val="12"/>
            <c:spPr>
              <a:ln/>
              <a:effectLst/>
            </c:spPr>
          </c:bandFmt>
          <c:bandFmt>
            <c:idx val="13"/>
            <c:spPr>
              <a:ln/>
              <a:effectLst/>
            </c:spPr>
          </c:bandFmt>
          <c:bandFmt>
            <c:idx val="14"/>
            <c:spPr>
              <a:ln/>
              <a:effectLst/>
            </c:spPr>
          </c:bandFmt>
        </c:bandFmts>
        <c:axId val="207727232"/>
        <c:axId val="207737600"/>
        <c:axId val="207659456"/>
      </c:surface3DChart>
      <c:catAx>
        <c:axId val="20772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Mach number</a:t>
                </a:r>
              </a:p>
            </c:rich>
          </c:tx>
          <c:layout>
            <c:manualLayout>
              <c:xMode val="edge"/>
              <c:yMode val="edge"/>
              <c:x val="0.36000214605087222"/>
              <c:y val="0.871146857131672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37600"/>
        <c:crosses val="autoZero"/>
        <c:auto val="1"/>
        <c:lblAlgn val="ctr"/>
        <c:lblOffset val="100"/>
        <c:noMultiLvlLbl val="0"/>
      </c:catAx>
      <c:valAx>
        <c:axId val="207737600"/>
        <c:scaling>
          <c:orientation val="minMax"/>
          <c:min val="0.180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Seat-mile cost (USD)</a:t>
                </a:r>
              </a:p>
            </c:rich>
          </c:tx>
          <c:layout>
            <c:manualLayout>
              <c:xMode val="edge"/>
              <c:yMode val="edge"/>
              <c:x val="0.15480011310420344"/>
              <c:y val="0.3442927558485414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27232"/>
        <c:crosses val="autoZero"/>
        <c:crossBetween val="midCat"/>
      </c:valAx>
      <c:serAx>
        <c:axId val="20765945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Altitude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37600"/>
        <c:crosses val="autoZero"/>
        <c:tickLblSkip val="2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8642484822745246E-2"/>
          <c:y val="1.6856839265911302E-2"/>
          <c:w val="0.86771060870113792"/>
          <c:h val="0.77817361324072076"/>
        </c:manualLayout>
      </c:layout>
      <c:surface3DChart>
        <c:wireframe val="1"/>
        <c:ser>
          <c:idx val="0"/>
          <c:order val="0"/>
          <c:tx>
            <c:strRef>
              <c:f>Inputs_Outputs!$B$52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Inputs_Outputs!$C$52:$K$52</c:f>
              <c:numCache>
                <c:formatCode>0.00E+00</c:formatCode>
                <c:ptCount val="9"/>
                <c:pt idx="0">
                  <c:v>8.0500230191675039E-5</c:v>
                </c:pt>
                <c:pt idx="1">
                  <c:v>7.2550559606110584E-5</c:v>
                </c:pt>
                <c:pt idx="2">
                  <c:v>6.9493139459852189E-5</c:v>
                </c:pt>
                <c:pt idx="3">
                  <c:v>6.9376197957559221E-5</c:v>
                </c:pt>
                <c:pt idx="4">
                  <c:v>7.1404580947204605E-5</c:v>
                </c:pt>
                <c:pt idx="5">
                  <c:v>7.5867469740579602E-5</c:v>
                </c:pt>
                <c:pt idx="6">
                  <c:v>8.2261418203650411E-5</c:v>
                </c:pt>
                <c:pt idx="7">
                  <c:v>9.1615863549513428E-5</c:v>
                </c:pt>
                <c:pt idx="8">
                  <c:v>1.0894854296889733E-4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A-48A8-AFE6-09626E65C8C1}"/>
            </c:ext>
          </c:extLst>
        </c:ser>
        <c:ser>
          <c:idx val="1"/>
          <c:order val="1"/>
          <c:tx>
            <c:strRef>
              <c:f>Inputs_Outputs!$B$53</c:f>
              <c:strCache>
                <c:ptCount val="1"/>
                <c:pt idx="0">
                  <c:v>3500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Inputs_Outputs!$C$53:$K$53</c:f>
              <c:numCache>
                <c:formatCode>0.00E+00</c:formatCode>
                <c:ptCount val="9"/>
                <c:pt idx="0">
                  <c:v>8.2765686909121595E-5</c:v>
                </c:pt>
                <c:pt idx="1">
                  <c:v>7.3507838689222291E-5</c:v>
                </c:pt>
                <c:pt idx="2">
                  <c:v>6.9473257252151388E-5</c:v>
                </c:pt>
                <c:pt idx="3">
                  <c:v>6.8562005184072666E-5</c:v>
                </c:pt>
                <c:pt idx="4">
                  <c:v>6.9878595280172714E-5</c:v>
                </c:pt>
                <c:pt idx="5">
                  <c:v>7.3605521035395436E-5</c:v>
                </c:pt>
                <c:pt idx="6">
                  <c:v>7.9209749009647674E-5</c:v>
                </c:pt>
                <c:pt idx="7">
                  <c:v>8.7607402525054822E-5</c:v>
                </c:pt>
                <c:pt idx="8">
                  <c:v>1.0342880576500349E-4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A-48A8-AFE6-09626E65C8C1}"/>
            </c:ext>
          </c:extLst>
        </c:ser>
        <c:ser>
          <c:idx val="2"/>
          <c:order val="2"/>
          <c:tx>
            <c:strRef>
              <c:f>Inputs_Outputs!$B$54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Inputs_Outputs!$C$54:$K$54</c:f>
              <c:numCache>
                <c:formatCode>0.00E+00</c:formatCode>
                <c:ptCount val="9"/>
                <c:pt idx="0">
                  <c:v>8.5435643570124951E-5</c:v>
                </c:pt>
                <c:pt idx="1">
                  <c:v>7.4799727854367462E-5</c:v>
                </c:pt>
                <c:pt idx="2">
                  <c:v>6.9752011204851316E-5</c:v>
                </c:pt>
                <c:pt idx="3">
                  <c:v>6.8031749026739057E-5</c:v>
                </c:pt>
                <c:pt idx="4">
                  <c:v>6.8637497968133159E-5</c:v>
                </c:pt>
                <c:pt idx="5">
                  <c:v>7.1645190429608384E-5</c:v>
                </c:pt>
                <c:pt idx="6">
                  <c:v>7.6491586813398353E-5</c:v>
                </c:pt>
                <c:pt idx="7">
                  <c:v>8.3986241274286403E-5</c:v>
                </c:pt>
                <c:pt idx="8">
                  <c:v>9.8400186451215083E-5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A-48A8-AFE6-09626E65C8C1}"/>
            </c:ext>
          </c:extLst>
        </c:ser>
        <c:ser>
          <c:idx val="3"/>
          <c:order val="3"/>
          <c:tx>
            <c:strRef>
              <c:f>Inputs_Outputs!$B$55</c:f>
              <c:strCache>
                <c:ptCount val="1"/>
                <c:pt idx="0">
                  <c:v>4500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Inputs_Outputs!$C$55:$K$55</c:f>
              <c:numCache>
                <c:formatCode>0.00E+00</c:formatCode>
                <c:ptCount val="9"/>
                <c:pt idx="0">
                  <c:v>8.8540955936204343E-5</c:v>
                </c:pt>
                <c:pt idx="1">
                  <c:v>7.6447281954895651E-5</c:v>
                </c:pt>
                <c:pt idx="2">
                  <c:v>7.0343628363499864E-5</c:v>
                </c:pt>
                <c:pt idx="3">
                  <c:v>6.7794392656636028E-5</c:v>
                </c:pt>
                <c:pt idx="4">
                  <c:v>6.7685671368859811E-5</c:v>
                </c:pt>
                <c:pt idx="5">
                  <c:v>6.9986202374676875E-5</c:v>
                </c:pt>
                <c:pt idx="6">
                  <c:v>7.4101349456942984E-5</c:v>
                </c:pt>
                <c:pt idx="7">
                  <c:v>8.0739809737653571E-5</c:v>
                </c:pt>
                <c:pt idx="8">
                  <c:v>9.3838539711427126E-5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A-48A8-AFE6-09626E65C8C1}"/>
            </c:ext>
          </c:extLst>
        </c:ser>
        <c:ser>
          <c:idx val="4"/>
          <c:order val="4"/>
          <c:tx>
            <c:strRef>
              <c:f>Inputs_Outputs!$B$56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Inputs_Outputs!$C$56:$K$56</c:f>
              <c:numCache>
                <c:formatCode>0.00E+00</c:formatCode>
                <c:ptCount val="9"/>
                <c:pt idx="0">
                  <c:v>9.2116433697769033E-5</c:v>
                </c:pt>
                <c:pt idx="1">
                  <c:v>7.84745338786383E-5</c:v>
                </c:pt>
                <c:pt idx="2">
                  <c:v>7.1264734714701243E-5</c:v>
                </c:pt>
                <c:pt idx="3">
                  <c:v>6.7860970219574363E-5</c:v>
                </c:pt>
                <c:pt idx="4">
                  <c:v>6.7029425238707987E-5</c:v>
                </c:pt>
                <c:pt idx="5">
                  <c:v>6.8630240483083369E-5</c:v>
                </c:pt>
                <c:pt idx="6">
                  <c:v>7.2035645870937825E-5</c:v>
                </c:pt>
                <c:pt idx="7">
                  <c:v>7.7858266300725177E-5</c:v>
                </c:pt>
                <c:pt idx="8">
                  <c:v>8.9723648642731901E-5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8A-48A8-AFE6-09626E65C8C1}"/>
            </c:ext>
          </c:extLst>
        </c:ser>
        <c:ser>
          <c:idx val="5"/>
          <c:order val="5"/>
          <c:tx>
            <c:strRef>
              <c:f>Inputs_Outputs!$B$57</c:f>
              <c:strCache>
                <c:ptCount val="1"/>
                <c:pt idx="0">
                  <c:v>5500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Inputs_Outputs!$C$57:$K$57</c:f>
              <c:numCache>
                <c:formatCode>0.00E+00</c:formatCode>
                <c:ptCount val="9"/>
                <c:pt idx="0">
                  <c:v>9.620133437062839E-5</c:v>
                </c:pt>
                <c:pt idx="1">
                  <c:v>8.0908849253258868E-5</c:v>
                </c:pt>
                <c:pt idx="2">
                  <c:v>7.2534616818717421E-5</c:v>
                </c:pt>
                <c:pt idx="3">
                  <c:v>6.8244779694932701E-5</c:v>
                </c:pt>
                <c:pt idx="4">
                  <c:v>6.667713137920008E-5</c:v>
                </c:pt>
                <c:pt idx="5">
                  <c:v>6.7581022721042864E-5</c:v>
                </c:pt>
                <c:pt idx="6">
                  <c:v>7.0293277969681506E-5</c:v>
                </c:pt>
                <c:pt idx="7">
                  <c:v>7.5334389933589426E-5</c:v>
                </c:pt>
                <c:pt idx="8">
                  <c:v>8.603890876075849E-5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8A-48A8-AFE6-09626E65C8C1}"/>
            </c:ext>
          </c:extLst>
        </c:ser>
        <c:ser>
          <c:idx val="6"/>
          <c:order val="6"/>
          <c:tx>
            <c:strRef>
              <c:f>Inputs_Outputs!$B$58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Inputs_Outputs!$C$58:$K$58</c:f>
              <c:numCache>
                <c:formatCode>0.00E+00</c:formatCode>
                <c:ptCount val="9"/>
                <c:pt idx="0">
                  <c:v>1.0083993025180729E-4</c:v>
                </c:pt>
                <c:pt idx="1">
                  <c:v>8.3781335135576628E-5</c:v>
                </c:pt>
                <c:pt idx="2">
                  <c:v>7.4175525785390812E-5</c:v>
                </c:pt>
                <c:pt idx="3">
                  <c:v>6.8961611137975518E-5</c:v>
                </c:pt>
                <c:pt idx="4">
                  <c:v>6.6639390183927658E-5</c:v>
                </c:pt>
                <c:pt idx="5">
                  <c:v>6.684440847912658E-5</c:v>
                </c:pt>
                <c:pt idx="6">
                  <c:v>6.8875278941371094E-5</c:v>
                </c:pt>
                <c:pt idx="7">
                  <c:v>7.3163521251634687E-5</c:v>
                </c:pt>
                <c:pt idx="8">
                  <c:v>8.2771092712446672E-5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8A-48A8-AFE6-09626E65C8C1}"/>
            </c:ext>
          </c:extLst>
        </c:ser>
        <c:ser>
          <c:idx val="7"/>
          <c:order val="7"/>
          <c:tx>
            <c:strRef>
              <c:f>Inputs_Outputs!$B$59</c:f>
              <c:strCache>
                <c:ptCount val="1"/>
                <c:pt idx="0">
                  <c:v>6500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Inputs_Outputs!$C$59:$K$59</c:f>
              <c:numCache>
                <c:formatCode>0.00E+00</c:formatCode>
                <c:ptCount val="9"/>
                <c:pt idx="0">
                  <c:v>1.0608215997097174E-4</c:v>
                </c:pt>
                <c:pt idx="1">
                  <c:v>8.7127311008004148E-5</c:v>
                </c:pt>
                <c:pt idx="2">
                  <c:v>7.6213029801555453E-5</c:v>
                </c:pt>
                <c:pt idx="3">
                  <c:v>7.0030014981363947E-5</c:v>
                </c:pt>
                <c:pt idx="4">
                  <c:v>6.6929232478629577E-5</c:v>
                </c:pt>
                <c:pt idx="5">
                  <c:v>6.642853957268465E-5</c:v>
                </c:pt>
                <c:pt idx="6">
                  <c:v>6.7784988182583057E-5</c:v>
                </c:pt>
                <c:pt idx="7">
                  <c:v>7.1343549650551268E-5</c:v>
                </c:pt>
                <c:pt idx="8">
                  <c:v>7.9910186007353643E-5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8A-48A8-AFE6-09626E65C8C1}"/>
            </c:ext>
          </c:extLst>
        </c:ser>
        <c:ser>
          <c:idx val="8"/>
          <c:order val="8"/>
          <c:tx>
            <c:strRef>
              <c:f>Inputs_Outputs!$B$60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Inputs_Outputs!$C$60:$K$60</c:f>
              <c:numCache>
                <c:formatCode>0.00E+00</c:formatCode>
                <c:ptCount val="9"/>
                <c:pt idx="0">
                  <c:v>1.1198437822996687E-4</c:v>
                </c:pt>
                <c:pt idx="1">
                  <c:v>9.0986851912413266E-5</c:v>
                </c:pt>
                <c:pt idx="2">
                  <c:v>7.8676422586156799E-5</c:v>
                </c:pt>
                <c:pt idx="3">
                  <c:v>7.1471616031826862E-5</c:v>
                </c:pt>
                <c:pt idx="4">
                  <c:v>6.7562360898215583E-5</c:v>
                </c:pt>
                <c:pt idx="5">
                  <c:v>6.6344018069140816E-5</c:v>
                </c:pt>
                <c:pt idx="6">
                  <c:v>6.7028164120794452E-5</c:v>
                </c:pt>
                <c:pt idx="7">
                  <c:v>6.9874945131618587E-5</c:v>
                </c:pt>
                <c:pt idx="8">
                  <c:v>7.7449286881147835E-5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8A-48A8-AFE6-09626E65C8C1}"/>
            </c:ext>
          </c:extLst>
        </c:ser>
        <c:ser>
          <c:idx val="9"/>
          <c:order val="9"/>
          <c:tx>
            <c:strRef>
              <c:f>Inputs_Outputs!$B$61</c:f>
              <c:strCache>
                <c:ptCount val="1"/>
                <c:pt idx="0">
                  <c:v>7500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Inputs_Outputs!$C$61:$K$61</c:f>
              <c:numCache>
                <c:formatCode>0.00E+00</c:formatCode>
                <c:ptCount val="9"/>
                <c:pt idx="0">
                  <c:v>1.1861021977236005E-4</c:v>
                </c:pt>
                <c:pt idx="1">
                  <c:v>9.5405415343090134E-5</c:v>
                </c:pt>
                <c:pt idx="2">
                  <c:v>8.1599196530518939E-5</c:v>
                </c:pt>
                <c:pt idx="3">
                  <c:v>7.3311479920691841E-5</c:v>
                </c:pt>
                <c:pt idx="4">
                  <c:v>6.855743601591848E-5</c:v>
                </c:pt>
                <c:pt idx="5">
                  <c:v>6.6604124760082434E-5</c:v>
                </c:pt>
                <c:pt idx="6">
                  <c:v>6.6613137173425377E-5</c:v>
                </c:pt>
                <c:pt idx="7">
                  <c:v>6.8760834776622067E-5</c:v>
                </c:pt>
                <c:pt idx="8">
                  <c:v>7.5384565753504329E-5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8A-48A8-AFE6-09626E65C8C1}"/>
            </c:ext>
          </c:extLst>
        </c:ser>
        <c:ser>
          <c:idx val="10"/>
          <c:order val="10"/>
          <c:tx>
            <c:strRef>
              <c:f>Inputs_Outputs!$B$62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Inputs_Outputs!$C$62:$K$62</c:f>
              <c:numCache>
                <c:formatCode>0.00E+00</c:formatCode>
                <c:ptCount val="9"/>
                <c:pt idx="0">
                  <c:v>1.2603159655035287E-4</c:v>
                </c:pt>
                <c:pt idx="1">
                  <c:v>1.0043456565641592E-4</c:v>
                </c:pt>
                <c:pt idx="2">
                  <c:v>8.5019590922048104E-5</c:v>
                </c:pt>
                <c:pt idx="3">
                  <c:v>7.5578540089944298E-5</c:v>
                </c:pt>
                <c:pt idx="4">
                  <c:v>6.9936413564649746E-5</c:v>
                </c:pt>
                <c:pt idx="5">
                  <c:v>6.7225083125113015E-5</c:v>
                </c:pt>
                <c:pt idx="6">
                  <c:v>6.6551006145850315E-5</c:v>
                </c:pt>
                <c:pt idx="7">
                  <c:v>6.800712511889524E-5</c:v>
                </c:pt>
                <c:pt idx="8">
                  <c:v>7.3715281779656975E-5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8A-48A8-AFE6-09626E65C8C1}"/>
            </c:ext>
          </c:extLst>
        </c:ser>
        <c:ser>
          <c:idx val="11"/>
          <c:order val="11"/>
          <c:tx>
            <c:strRef>
              <c:f>Inputs_Outputs!$B$63</c:f>
              <c:strCache>
                <c:ptCount val="1"/>
                <c:pt idx="0">
                  <c:v>8500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Inputs_Outputs!$C$63:$K$63</c:f>
              <c:numCache>
                <c:formatCode>0.00E+00</c:formatCode>
                <c:ptCount val="9"/>
                <c:pt idx="0">
                  <c:v>1.3432985055959013E-4</c:v>
                </c:pt>
                <c:pt idx="1">
                  <c:v>1.0613281230949463E-4</c:v>
                </c:pt>
                <c:pt idx="2">
                  <c:v>8.8981227606819386E-5</c:v>
                </c:pt>
                <c:pt idx="3">
                  <c:v>7.8306094964269364E-5</c:v>
                </c:pt>
                <c:pt idx="4">
                  <c:v>7.1724940407885319E-5</c:v>
                </c:pt>
                <c:pt idx="5">
                  <c:v>6.8226374808051126E-5</c:v>
                </c:pt>
                <c:pt idx="6">
                  <c:v>6.6855882514096668E-5</c:v>
                </c:pt>
                <c:pt idx="7">
                  <c:v>6.7622672944953448E-5</c:v>
                </c:pt>
                <c:pt idx="8">
                  <c:v>7.2443855833889133E-5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8A-48A8-AFE6-09626E65C8C1}"/>
            </c:ext>
          </c:extLst>
        </c:ser>
        <c:ser>
          <c:idx val="12"/>
          <c:order val="12"/>
          <c:tx>
            <c:strRef>
              <c:f>Inputs_Outputs!$B$64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Inputs_Outputs!$C$64:$K$64</c:f>
              <c:numCache>
                <c:formatCode>0.00E+00</c:formatCode>
                <c:ptCount val="9"/>
                <c:pt idx="0">
                  <c:v>1.4359708901820663E-4</c:v>
                </c:pt>
                <c:pt idx="1">
                  <c:v>1.1256658130404139E-4</c:v>
                </c:pt>
                <c:pt idx="2">
                  <c:v>9.3533848789378925E-5</c:v>
                </c:pt>
                <c:pt idx="3">
                  <c:v>8.1532386829629707E-5</c:v>
                </c:pt>
                <c:pt idx="4">
                  <c:v>7.3952818473598195E-5</c:v>
                </c:pt>
                <c:pt idx="5">
                  <c:v>6.963111398617652E-5</c:v>
                </c:pt>
                <c:pt idx="6">
                  <c:v>6.7545188313198522E-5</c:v>
                </c:pt>
                <c:pt idx="7">
                  <c:v>6.7619508403825499E-5</c:v>
                </c:pt>
                <c:pt idx="8">
                  <c:v>7.1576000998577489E-5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8A-48A8-AFE6-09626E65C8C1}"/>
            </c:ext>
          </c:extLst>
        </c:ser>
        <c:ser>
          <c:idx val="13"/>
          <c:order val="13"/>
          <c:tx>
            <c:strRef>
              <c:f>Inputs_Outputs!$B$65</c:f>
              <c:strCache>
                <c:ptCount val="1"/>
                <c:pt idx="0">
                  <c:v>9500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Inputs_Outputs!$C$65:$K$65</c:f>
              <c:numCache>
                <c:formatCode>0.00E+00</c:formatCode>
                <c:ptCount val="9"/>
                <c:pt idx="0">
                  <c:v>1.5393773362904471E-4</c:v>
                </c:pt>
                <c:pt idx="1">
                  <c:v>1.1981134289744782E-4</c:v>
                </c:pt>
                <c:pt idx="2">
                  <c:v>9.8734174482109161E-5</c:v>
                </c:pt>
                <c:pt idx="3">
                  <c:v>8.530127617828749E-5</c:v>
                </c:pt>
                <c:pt idx="4">
                  <c:v>7.6654547716298953E-5</c:v>
                </c:pt>
                <c:pt idx="5">
                  <c:v>7.1466489609345278E-5</c:v>
                </c:pt>
                <c:pt idx="6">
                  <c:v>6.8640014806945729E-5</c:v>
                </c:pt>
                <c:pt idx="7">
                  <c:v>6.8013115752532885E-5</c:v>
                </c:pt>
                <c:pt idx="8">
                  <c:v>7.1120913346577904E-5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8A-48A8-AFE6-09626E65C8C1}"/>
            </c:ext>
          </c:extLst>
        </c:ser>
        <c:ser>
          <c:idx val="14"/>
          <c:order val="14"/>
          <c:tx>
            <c:strRef>
              <c:f>Inputs_Outputs!$B$66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Inputs_Outputs!$C$66:$K$66</c:f>
              <c:numCache>
                <c:formatCode>0.00E+00</c:formatCode>
                <c:ptCount val="9"/>
                <c:pt idx="0">
                  <c:v>1.6547032177394186E-4</c:v>
                </c:pt>
                <c:pt idx="1">
                  <c:v>1.2795292308850751E-4</c:v>
                </c:pt>
                <c:pt idx="2">
                  <c:v>1.0464690050707712E-4</c:v>
                </c:pt>
                <c:pt idx="3">
                  <c:v>8.9663027972434277E-5</c:v>
                </c:pt>
                <c:pt idx="4">
                  <c:v>7.9869961388093894E-5</c:v>
                </c:pt>
                <c:pt idx="5">
                  <c:v>7.3764286377331497E-5</c:v>
                </c:pt>
                <c:pt idx="6">
                  <c:v>7.0165550803856535E-5</c:v>
                </c:pt>
                <c:pt idx="7">
                  <c:v>6.8822778683509829E-5</c:v>
                </c:pt>
                <c:pt idx="8">
                  <c:v>7.109152757442783E-5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8A-48A8-AFE6-09626E65C8C1}"/>
            </c:ext>
          </c:extLst>
        </c:ser>
        <c:ser>
          <c:idx val="15"/>
          <c:order val="15"/>
          <c:tx>
            <c:strRef>
              <c:f>Inputs_Outputs!$B$67</c:f>
              <c:strCache>
                <c:ptCount val="1"/>
                <c:pt idx="0">
                  <c:v>10500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Inputs_Outputs!$C$67:$K$67</c:f>
              <c:numCache>
                <c:formatCode>0.00E+00</c:formatCode>
                <c:ptCount val="9"/>
                <c:pt idx="0">
                  <c:v>1.7832960488286254E-4</c:v>
                </c:pt>
                <c:pt idx="1">
                  <c:v>1.3708903176252858E-4</c:v>
                </c:pt>
                <c:pt idx="2">
                  <c:v>1.1134586205104482E-4</c:v>
                </c:pt>
                <c:pt idx="3">
                  <c:v>9.4675229527164565E-5</c:v>
                </c:pt>
                <c:pt idx="4">
                  <c:v>8.3644969564672242E-5</c:v>
                </c:pt>
                <c:pt idx="5">
                  <c:v>7.6561497582983539E-5</c:v>
                </c:pt>
                <c:pt idx="6">
                  <c:v>7.2151591472398898E-5</c:v>
                </c:pt>
                <c:pt idx="7">
                  <c:v>7.007199902677915E-5</c:v>
                </c:pt>
                <c:pt idx="8">
                  <c:v>7.1504843944879054E-5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8A-48A8-AFE6-09626E65C8C1}"/>
            </c:ext>
          </c:extLst>
        </c:ser>
        <c:ser>
          <c:idx val="16"/>
          <c:order val="16"/>
          <c:tx>
            <c:strRef>
              <c:f>Inputs_Outputs!$B$68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Inputs_Outputs!$C$68:$K$68</c:f>
              <c:numCache>
                <c:formatCode>0.00E+00</c:formatCode>
                <c:ptCount val="9"/>
                <c:pt idx="0">
                  <c:v>1.7829751139141937E-4</c:v>
                </c:pt>
                <c:pt idx="1">
                  <c:v>1.3705128241588369E-4</c:v>
                </c:pt>
                <c:pt idx="2">
                  <c:v>1.1131361075663493E-4</c:v>
                </c:pt>
                <c:pt idx="3">
                  <c:v>9.465030547788055E-5</c:v>
                </c:pt>
                <c:pt idx="4">
                  <c:v>8.3626198417805232E-5</c:v>
                </c:pt>
                <c:pt idx="5">
                  <c:v>7.6549145627167404E-5</c:v>
                </c:pt>
                <c:pt idx="6">
                  <c:v>7.2141965229868607E-5</c:v>
                </c:pt>
                <c:pt idx="7">
                  <c:v>7.0063120117866442E-5</c:v>
                </c:pt>
                <c:pt idx="8">
                  <c:v>7.1507097278978823E-5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8A-48A8-AFE6-09626E65C8C1}"/>
            </c:ext>
          </c:extLst>
        </c:ser>
        <c:ser>
          <c:idx val="17"/>
          <c:order val="17"/>
          <c:tx>
            <c:strRef>
              <c:f>Inputs_Outputs!$B$69</c:f>
              <c:strCache>
                <c:ptCount val="1"/>
                <c:pt idx="0">
                  <c:v>11500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Inputs_Outputs!$C$69:$K$69</c:f>
              <c:numCache>
                <c:formatCode>0.00E+00</c:formatCode>
                <c:ptCount val="9"/>
                <c:pt idx="0">
                  <c:v>1.9120079680485865E-4</c:v>
                </c:pt>
                <c:pt idx="1">
                  <c:v>1.4627765542865056E-4</c:v>
                </c:pt>
                <c:pt idx="2">
                  <c:v>1.181330660523039E-4</c:v>
                </c:pt>
                <c:pt idx="3">
                  <c:v>9.980824360967222E-5</c:v>
                </c:pt>
                <c:pt idx="4">
                  <c:v>8.7572538252490573E-5</c:v>
                </c:pt>
                <c:pt idx="5">
                  <c:v>7.9546844421815648E-5</c:v>
                </c:pt>
                <c:pt idx="6">
                  <c:v>7.4364760994400858E-5</c:v>
                </c:pt>
                <c:pt idx="7">
                  <c:v>7.1596307017102005E-5</c:v>
                </c:pt>
                <c:pt idx="8">
                  <c:v>7.2272506325209057E-5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8A-48A8-AFE6-09626E65C8C1}"/>
            </c:ext>
          </c:extLst>
        </c:ser>
        <c:ser>
          <c:idx val="18"/>
          <c:order val="18"/>
          <c:tx>
            <c:strRef>
              <c:f>Inputs_Outputs!$B$70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Inputs_Outputs!$C$70:$K$70</c:f>
              <c:numCache>
                <c:formatCode>0.00E+00</c:formatCode>
                <c:ptCount val="9"/>
                <c:pt idx="0">
                  <c:v>2.0529328100815858E-4</c:v>
                </c:pt>
                <c:pt idx="1">
                  <c:v>1.5641382177767084E-4</c:v>
                </c:pt>
                <c:pt idx="2">
                  <c:v>1.2568726566671801E-4</c:v>
                </c:pt>
                <c:pt idx="3">
                  <c:v>1.0558695238940154E-4</c:v>
                </c:pt>
                <c:pt idx="4">
                  <c:v>9.2063547138012444E-5</c:v>
                </c:pt>
                <c:pt idx="5">
                  <c:v>8.303929539691746E-5</c:v>
                </c:pt>
                <c:pt idx="6">
                  <c:v>7.7050078282172766E-5</c:v>
                </c:pt>
                <c:pt idx="7">
                  <c:v>7.357479667179697E-5</c:v>
                </c:pt>
                <c:pt idx="8">
                  <c:v>7.3487423838445578E-5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8A-48A8-AFE6-09626E65C8C1}"/>
            </c:ext>
          </c:extLst>
        </c:ser>
        <c:ser>
          <c:idx val="19"/>
          <c:order val="19"/>
          <c:tx>
            <c:strRef>
              <c:f>Inputs_Outputs!$B$71</c:f>
              <c:strCache>
                <c:ptCount val="1"/>
                <c:pt idx="0">
                  <c:v>12500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Inputs_Outputs!$C$51:$K$51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cat>
          <c:val>
            <c:numRef>
              <c:f>Inputs_Outputs!$C$71:$K$71</c:f>
              <c:numCache>
                <c:formatCode>0.00E+00</c:formatCode>
                <c:ptCount val="9"/>
                <c:pt idx="0">
                  <c:v>2.2066261408144831E-4</c:v>
                </c:pt>
                <c:pt idx="1">
                  <c:v>1.6752282469789705E-4</c:v>
                </c:pt>
                <c:pt idx="2">
                  <c:v>1.3402319394926264E-4</c:v>
                </c:pt>
                <c:pt idx="3">
                  <c:v>1.1202237326502602E-4</c:v>
                </c:pt>
                <c:pt idx="4">
                  <c:v>9.7127157501542482E-5</c:v>
                </c:pt>
                <c:pt idx="5">
                  <c:v>8.7048220315889255E-5</c:v>
                </c:pt>
                <c:pt idx="6">
                  <c:v>8.0214618781264998E-5</c:v>
                </c:pt>
                <c:pt idx="7">
                  <c:v>7.6010894561543573E-5</c:v>
                </c:pt>
                <c:pt idx="8">
                  <c:v>7.5159406159774124E-5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8A-48A8-AFE6-09626E65C8C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09583104"/>
        <c:axId val="209589376"/>
        <c:axId val="209562240"/>
      </c:surface3DChart>
      <c:catAx>
        <c:axId val="209583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89376"/>
        <c:crosses val="autoZero"/>
        <c:auto val="1"/>
        <c:lblAlgn val="ctr"/>
        <c:lblOffset val="100"/>
        <c:noMultiLvlLbl val="0"/>
      </c:catAx>
      <c:valAx>
        <c:axId val="209589376"/>
        <c:scaling>
          <c:orientation val="minMax"/>
          <c:min val="5.0000000000000043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Fuel consumption (kg/NM/kg MTOW)</a:t>
                </a:r>
              </a:p>
            </c:rich>
          </c:tx>
          <c:layout>
            <c:manualLayout>
              <c:xMode val="edge"/>
              <c:yMode val="edge"/>
              <c:x val="0.15625010561273983"/>
              <c:y val="0.203384030721471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83104"/>
        <c:crosses val="autoZero"/>
        <c:crossBetween val="midCat"/>
      </c:valAx>
      <c:serAx>
        <c:axId val="20956224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Altitude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89376"/>
        <c:crosses val="autoZero"/>
        <c:tickLblSkip val="2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Drag components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4E-4FDE-8A00-3A3DF8D9F5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4E-4FDE-8A00-3A3DF8D9F5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4E-4FDE-8A00-3A3DF8D9F5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Fuel!$B$38:$B$40</c:f>
              <c:strCache>
                <c:ptCount val="3"/>
                <c:pt idx="0">
                  <c:v>Zero lift drag</c:v>
                </c:pt>
                <c:pt idx="1">
                  <c:v>Wave drag</c:v>
                </c:pt>
                <c:pt idx="2">
                  <c:v>Induced drag</c:v>
                </c:pt>
              </c:strCache>
            </c:strRef>
          </c:cat>
          <c:val>
            <c:numRef>
              <c:f>Fuel!$C$38:$C$40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D-4877-9D03-D3E9B79223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Annual DOC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86-428C-AD68-C14EA9F180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86-428C-AD68-C14EA9F180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86-428C-AD68-C14EA9F180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86-428C-AD68-C14EA9F180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86-428C-AD68-C14EA9F180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86-428C-AD68-C14EA9F180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286-428C-AD68-C14EA9F180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DOC!$B$100:$B$106</c:f>
              <c:strCache>
                <c:ptCount val="7"/>
                <c:pt idx="0">
                  <c:v>Depreciation</c:v>
                </c:pt>
                <c:pt idx="1">
                  <c:v>Interest</c:v>
                </c:pt>
                <c:pt idx="2">
                  <c:v>Insurance</c:v>
                </c:pt>
                <c:pt idx="3">
                  <c:v>Fuel</c:v>
                </c:pt>
                <c:pt idx="4">
                  <c:v>Maintenance</c:v>
                </c:pt>
                <c:pt idx="5">
                  <c:v>Staff</c:v>
                </c:pt>
                <c:pt idx="6">
                  <c:v>Fees and charges</c:v>
                </c:pt>
              </c:strCache>
            </c:strRef>
          </c:cat>
          <c:val>
            <c:numRef>
              <c:f>DOC!$C$100:$C$106</c:f>
              <c:numCache>
                <c:formatCode>[$$-409]#,##0.00</c:formatCode>
                <c:ptCount val="7"/>
                <c:pt idx="0">
                  <c:v>6200021.44538524</c:v>
                </c:pt>
                <c:pt idx="1">
                  <c:v>5101928.7582803434</c:v>
                </c:pt>
                <c:pt idx="2">
                  <c:v>423617.79295613791</c:v>
                </c:pt>
                <c:pt idx="3">
                  <c:v>0</c:v>
                </c:pt>
                <c:pt idx="4">
                  <c:v>5384207.6099153152</c:v>
                </c:pt>
                <c:pt idx="5">
                  <c:v>4701236.4776739199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2-4CA8-86AE-19F9D2BE14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DOC!$A$138</c:f>
              <c:strCache>
                <c:ptCount val="1"/>
                <c:pt idx="0">
                  <c:v>Depreciation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DOC!$B$138:$E$138</c:f>
              <c:numCache>
                <c:formatCode>[$$-409]#,##0.00</c:formatCode>
                <c:ptCount val="4"/>
                <c:pt idx="0">
                  <c:v>6200021.44538524</c:v>
                </c:pt>
                <c:pt idx="1">
                  <c:v>6200021.44538524</c:v>
                </c:pt>
                <c:pt idx="2">
                  <c:v>6200021.44538524</c:v>
                </c:pt>
                <c:pt idx="3">
                  <c:v>6200021.44538524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5-4D92-92A4-1DAFD163CA8E}"/>
            </c:ext>
          </c:extLst>
        </c:ser>
        <c:ser>
          <c:idx val="1"/>
          <c:order val="1"/>
          <c:tx>
            <c:strRef>
              <c:f>DOC!$A$139</c:f>
              <c:strCache>
                <c:ptCount val="1"/>
                <c:pt idx="0">
                  <c:v>Interest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DOC!$B$139:$E$139</c:f>
              <c:numCache>
                <c:formatCode>[$$-409]#,##0.00</c:formatCode>
                <c:ptCount val="4"/>
                <c:pt idx="0">
                  <c:v>5101928.7582803434</c:v>
                </c:pt>
                <c:pt idx="1">
                  <c:v>5101928.7582803434</c:v>
                </c:pt>
                <c:pt idx="2">
                  <c:v>5101928.7582803434</c:v>
                </c:pt>
                <c:pt idx="3">
                  <c:v>5101928.7582803434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45-4D92-92A4-1DAFD163CA8E}"/>
            </c:ext>
          </c:extLst>
        </c:ser>
        <c:ser>
          <c:idx val="2"/>
          <c:order val="2"/>
          <c:tx>
            <c:strRef>
              <c:f>DOC!$A$140</c:f>
              <c:strCache>
                <c:ptCount val="1"/>
                <c:pt idx="0">
                  <c:v>Insurance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DOC!$B$140:$E$140</c:f>
              <c:numCache>
                <c:formatCode>[$$-409]#,##0.00</c:formatCode>
                <c:ptCount val="4"/>
                <c:pt idx="0">
                  <c:v>423617.79295613791</c:v>
                </c:pt>
                <c:pt idx="1">
                  <c:v>423617.79295613791</c:v>
                </c:pt>
                <c:pt idx="2">
                  <c:v>423617.79295613791</c:v>
                </c:pt>
                <c:pt idx="3">
                  <c:v>423617.79295613791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45-4D92-92A4-1DAFD163CA8E}"/>
            </c:ext>
          </c:extLst>
        </c:ser>
        <c:ser>
          <c:idx val="3"/>
          <c:order val="3"/>
          <c:tx>
            <c:strRef>
              <c:f>DOC!$A$141</c:f>
              <c:strCache>
                <c:ptCount val="1"/>
                <c:pt idx="0">
                  <c:v>Fuel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DOC!$B$141:$E$141</c:f>
              <c:numCache>
                <c:formatCode>[$$-409]#,##0.00</c:formatCode>
                <c:ptCount val="4"/>
                <c:pt idx="0">
                  <c:v>2413909.7883061506</c:v>
                </c:pt>
                <c:pt idx="1">
                  <c:v>2691784.3049266273</c:v>
                </c:pt>
                <c:pt idx="2">
                  <c:v>3128502.3644823916</c:v>
                </c:pt>
                <c:pt idx="3">
                  <c:v>3396793.1602094015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45-4D92-92A4-1DAFD163CA8E}"/>
            </c:ext>
          </c:extLst>
        </c:ser>
        <c:ser>
          <c:idx val="4"/>
          <c:order val="4"/>
          <c:tx>
            <c:strRef>
              <c:f>DOC!$A$142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DOC!$B$142:$E$142</c:f>
              <c:numCache>
                <c:formatCode>[$$-409]#,##0.00</c:formatCode>
                <c:ptCount val="4"/>
                <c:pt idx="0">
                  <c:v>5023752.6903652027</c:v>
                </c:pt>
                <c:pt idx="1">
                  <c:v>5106346.3050972782</c:v>
                </c:pt>
                <c:pt idx="2">
                  <c:v>5285011.8435956473</c:v>
                </c:pt>
                <c:pt idx="3">
                  <c:v>5320396.0960207079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45-4D92-92A4-1DAFD163CA8E}"/>
            </c:ext>
          </c:extLst>
        </c:ser>
        <c:ser>
          <c:idx val="5"/>
          <c:order val="5"/>
          <c:tx>
            <c:strRef>
              <c:f>DOC!$A$143</c:f>
              <c:strCache>
                <c:ptCount val="1"/>
                <c:pt idx="0">
                  <c:v>Staff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DOC!$B$143:$E$143</c:f>
              <c:numCache>
                <c:formatCode>[$$-409]#,##0.00</c:formatCode>
                <c:ptCount val="4"/>
                <c:pt idx="0">
                  <c:v>5130719.3778327564</c:v>
                </c:pt>
                <c:pt idx="1">
                  <c:v>5031588.6445801696</c:v>
                </c:pt>
                <c:pt idx="2">
                  <c:v>4819748.9074621452</c:v>
                </c:pt>
                <c:pt idx="3">
                  <c:v>4778910.8931653835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45-4D92-92A4-1DAFD163CA8E}"/>
            </c:ext>
          </c:extLst>
        </c:ser>
        <c:ser>
          <c:idx val="6"/>
          <c:order val="6"/>
          <c:tx>
            <c:strRef>
              <c:f>DOC!$A$144</c:f>
              <c:strCache>
                <c:ptCount val="1"/>
                <c:pt idx="0">
                  <c:v>Fees and charges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DOC!$B$144:$E$144</c:f>
              <c:numCache>
                <c:formatCode>[$$-409]#,##0.00</c:formatCode>
                <c:ptCount val="4"/>
                <c:pt idx="0">
                  <c:v>6674835.2697922885</c:v>
                </c:pt>
                <c:pt idx="1">
                  <c:v>7553653.7065674486</c:v>
                </c:pt>
                <c:pt idx="2">
                  <c:v>9443810.820583865</c:v>
                </c:pt>
                <c:pt idx="3">
                  <c:v>9813472.5439892896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45-4D92-92A4-1DAFD163CA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5820544"/>
        <c:axId val="215855104"/>
      </c:barChart>
      <c:catAx>
        <c:axId val="21582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55104"/>
        <c:crosses val="autoZero"/>
        <c:auto val="1"/>
        <c:lblAlgn val="ctr"/>
        <c:lblOffset val="100"/>
        <c:noMultiLvlLbl val="0"/>
      </c:catAx>
      <c:valAx>
        <c:axId val="21585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8205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Correlation</a:t>
            </a:r>
            <a:r>
              <a:rPr lang="nl-BE" baseline="0"/>
              <a:t> between Wf_adapted and EI_NOx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9.1763779527559056E-2"/>
                  <c:y val="-3.784922717993585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Environmental!$D$12:$D$15</c:f>
              <c:numCache>
                <c:formatCode>General</c:formatCode>
                <c:ptCount val="4"/>
                <c:pt idx="0">
                  <c:v>1.1776599999999999</c:v>
                </c:pt>
                <c:pt idx="1">
                  <c:v>0.97349299999999983</c:v>
                </c:pt>
                <c:pt idx="2">
                  <c:v>0.33252000000000004</c:v>
                </c:pt>
                <c:pt idx="3">
                  <c:v>0.11770000000000001</c:v>
                </c:pt>
              </c:numCache>
            </c:numRef>
          </c:xVal>
          <c:yVal>
            <c:numRef>
              <c:f>Environmental!$E$12:$E$15</c:f>
              <c:numCache>
                <c:formatCode>General</c:formatCode>
                <c:ptCount val="4"/>
                <c:pt idx="0">
                  <c:v>28.7</c:v>
                </c:pt>
                <c:pt idx="1">
                  <c:v>23.3</c:v>
                </c:pt>
                <c:pt idx="2">
                  <c:v>10</c:v>
                </c:pt>
                <c:pt idx="3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9-4D8E-A3D5-D3CEA750D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54048"/>
        <c:axId val="216756224"/>
      </c:scatterChart>
      <c:valAx>
        <c:axId val="2167540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log</a:t>
                </a:r>
                <a:r>
                  <a:rPr lang="nl-BE" baseline="0"/>
                  <a:t> Wf_adapted</a:t>
                </a:r>
                <a:endParaRPr lang="nl-B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756224"/>
        <c:crosses val="autoZero"/>
        <c:crossBetween val="midCat"/>
      </c:valAx>
      <c:valAx>
        <c:axId val="216756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log EI_NOx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75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Individual weight of parameters in mCO2,eq equation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Environmental!$A$83</c:f>
              <c:strCache>
                <c:ptCount val="1"/>
                <c:pt idx="0">
                  <c:v>C02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Environmental!$B$83:$E$83</c:f>
              <c:numCache>
                <c:formatCode>0.00%</c:formatCode>
                <c:ptCount val="4"/>
                <c:pt idx="0">
                  <c:v>1.0632858819171978</c:v>
                </c:pt>
                <c:pt idx="1">
                  <c:v>1.1429154054871504</c:v>
                </c:pt>
                <c:pt idx="2">
                  <c:v>0.2489752634420275</c:v>
                </c:pt>
                <c:pt idx="3">
                  <c:v>0.19152099522915295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F-4149-AC1A-B41132C5BDA2}"/>
            </c:ext>
          </c:extLst>
        </c:ser>
        <c:ser>
          <c:idx val="1"/>
          <c:order val="1"/>
          <c:tx>
            <c:strRef>
              <c:f>Environmental!$A$84</c:f>
              <c:strCache>
                <c:ptCount val="1"/>
                <c:pt idx="0">
                  <c:v>NOx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Environmental!$B$84:$E$84</c:f>
              <c:numCache>
                <c:formatCode>0.00%</c:formatCode>
                <c:ptCount val="4"/>
                <c:pt idx="0">
                  <c:v>-6.3285881917197681E-2</c:v>
                </c:pt>
                <c:pt idx="1">
                  <c:v>-0.14291540548715048</c:v>
                </c:pt>
                <c:pt idx="2">
                  <c:v>0.18023333491468507</c:v>
                </c:pt>
                <c:pt idx="3">
                  <c:v>0.22456653128182125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BF-4149-AC1A-B41132C5BDA2}"/>
            </c:ext>
          </c:extLst>
        </c:ser>
        <c:ser>
          <c:idx val="2"/>
          <c:order val="2"/>
          <c:tx>
            <c:strRef>
              <c:f>Environmental!$A$85</c:f>
              <c:strCache>
                <c:ptCount val="1"/>
                <c:pt idx="0">
                  <c:v>AIC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Environmental!$B$85:$E$85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0.57079140164328734</c:v>
                </c:pt>
                <c:pt idx="3">
                  <c:v>0.58391247348902575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BF-4149-AC1A-B41132C5B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796544"/>
        <c:axId val="216810624"/>
      </c:barChart>
      <c:catAx>
        <c:axId val="21679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810624"/>
        <c:crosses val="autoZero"/>
        <c:auto val="1"/>
        <c:lblAlgn val="ctr"/>
        <c:lblOffset val="100"/>
        <c:noMultiLvlLbl val="0"/>
      </c:catAx>
      <c:valAx>
        <c:axId val="2168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79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TAS Climb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A320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time'!$A$5:$A$29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time'!$B$5:$B$29</c:f>
              <c:numCache>
                <c:formatCode>General</c:formatCode>
                <c:ptCount val="25"/>
                <c:pt idx="0">
                  <c:v>157</c:v>
                </c:pt>
                <c:pt idx="1">
                  <c:v>158</c:v>
                </c:pt>
                <c:pt idx="2">
                  <c:v>159</c:v>
                </c:pt>
                <c:pt idx="3">
                  <c:v>166</c:v>
                </c:pt>
                <c:pt idx="4">
                  <c:v>167</c:v>
                </c:pt>
                <c:pt idx="5">
                  <c:v>190</c:v>
                </c:pt>
                <c:pt idx="6">
                  <c:v>225</c:v>
                </c:pt>
                <c:pt idx="7">
                  <c:v>272</c:v>
                </c:pt>
                <c:pt idx="8">
                  <c:v>280</c:v>
                </c:pt>
                <c:pt idx="9">
                  <c:v>289</c:v>
                </c:pt>
                <c:pt idx="10">
                  <c:v>356</c:v>
                </c:pt>
                <c:pt idx="11">
                  <c:v>366</c:v>
                </c:pt>
                <c:pt idx="12">
                  <c:v>377</c:v>
                </c:pt>
                <c:pt idx="13">
                  <c:v>388</c:v>
                </c:pt>
                <c:pt idx="14">
                  <c:v>400</c:v>
                </c:pt>
                <c:pt idx="15">
                  <c:v>412</c:v>
                </c:pt>
                <c:pt idx="16">
                  <c:v>425</c:v>
                </c:pt>
                <c:pt idx="17">
                  <c:v>438</c:v>
                </c:pt>
                <c:pt idx="18">
                  <c:v>452</c:v>
                </c:pt>
                <c:pt idx="19">
                  <c:v>459</c:v>
                </c:pt>
                <c:pt idx="20">
                  <c:v>455</c:v>
                </c:pt>
                <c:pt idx="21">
                  <c:v>451</c:v>
                </c:pt>
                <c:pt idx="22">
                  <c:v>447</c:v>
                </c:pt>
                <c:pt idx="23">
                  <c:v>447</c:v>
                </c:pt>
                <c:pt idx="24">
                  <c:v>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1-4ED7-A6A6-F6F89096DDE5}"/>
            </c:ext>
          </c:extLst>
        </c:ser>
        <c:ser>
          <c:idx val="1"/>
          <c:order val="1"/>
          <c:tx>
            <c:v>A340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time'!$A$37:$A$61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time'!$B$37:$B$61</c:f>
              <c:numCache>
                <c:formatCode>General</c:formatCode>
                <c:ptCount val="25"/>
                <c:pt idx="0">
                  <c:v>158</c:v>
                </c:pt>
                <c:pt idx="1">
                  <c:v>160</c:v>
                </c:pt>
                <c:pt idx="2">
                  <c:v>161</c:v>
                </c:pt>
                <c:pt idx="3">
                  <c:v>167</c:v>
                </c:pt>
                <c:pt idx="4">
                  <c:v>168</c:v>
                </c:pt>
                <c:pt idx="5">
                  <c:v>192</c:v>
                </c:pt>
                <c:pt idx="6">
                  <c:v>226</c:v>
                </c:pt>
                <c:pt idx="7">
                  <c:v>272</c:v>
                </c:pt>
                <c:pt idx="8">
                  <c:v>280</c:v>
                </c:pt>
                <c:pt idx="9">
                  <c:v>289</c:v>
                </c:pt>
                <c:pt idx="10">
                  <c:v>356</c:v>
                </c:pt>
                <c:pt idx="11">
                  <c:v>366</c:v>
                </c:pt>
                <c:pt idx="12">
                  <c:v>377</c:v>
                </c:pt>
                <c:pt idx="13">
                  <c:v>388</c:v>
                </c:pt>
                <c:pt idx="14">
                  <c:v>400</c:v>
                </c:pt>
                <c:pt idx="15">
                  <c:v>412</c:v>
                </c:pt>
                <c:pt idx="16">
                  <c:v>425</c:v>
                </c:pt>
                <c:pt idx="17">
                  <c:v>438</c:v>
                </c:pt>
                <c:pt idx="18">
                  <c:v>452</c:v>
                </c:pt>
                <c:pt idx="19">
                  <c:v>466</c:v>
                </c:pt>
                <c:pt idx="20">
                  <c:v>473</c:v>
                </c:pt>
                <c:pt idx="21">
                  <c:v>468</c:v>
                </c:pt>
                <c:pt idx="22">
                  <c:v>464</c:v>
                </c:pt>
                <c:pt idx="23">
                  <c:v>464</c:v>
                </c:pt>
                <c:pt idx="24">
                  <c:v>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5-40FC-9E69-F6628EC4626E}"/>
            </c:ext>
          </c:extLst>
        </c:ser>
        <c:ser>
          <c:idx val="2"/>
          <c:order val="2"/>
          <c:tx>
            <c:v>B737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time'!$A$69:$A$93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time'!$B$69:$B$93</c:f>
              <c:numCache>
                <c:formatCode>General</c:formatCode>
                <c:ptCount val="25"/>
                <c:pt idx="0">
                  <c:v>142</c:v>
                </c:pt>
                <c:pt idx="1">
                  <c:v>143</c:v>
                </c:pt>
                <c:pt idx="2">
                  <c:v>144</c:v>
                </c:pt>
                <c:pt idx="3">
                  <c:v>150</c:v>
                </c:pt>
                <c:pt idx="4">
                  <c:v>151</c:v>
                </c:pt>
                <c:pt idx="5">
                  <c:v>175</c:v>
                </c:pt>
                <c:pt idx="6">
                  <c:v>209</c:v>
                </c:pt>
                <c:pt idx="7">
                  <c:v>272</c:v>
                </c:pt>
                <c:pt idx="8">
                  <c:v>280</c:v>
                </c:pt>
                <c:pt idx="9">
                  <c:v>289</c:v>
                </c:pt>
                <c:pt idx="10">
                  <c:v>356</c:v>
                </c:pt>
                <c:pt idx="11">
                  <c:v>366</c:v>
                </c:pt>
                <c:pt idx="12">
                  <c:v>377</c:v>
                </c:pt>
                <c:pt idx="13">
                  <c:v>388</c:v>
                </c:pt>
                <c:pt idx="14">
                  <c:v>400</c:v>
                </c:pt>
                <c:pt idx="15">
                  <c:v>412</c:v>
                </c:pt>
                <c:pt idx="16">
                  <c:v>425</c:v>
                </c:pt>
                <c:pt idx="17">
                  <c:v>431</c:v>
                </c:pt>
                <c:pt idx="18">
                  <c:v>427</c:v>
                </c:pt>
                <c:pt idx="19">
                  <c:v>424</c:v>
                </c:pt>
                <c:pt idx="20">
                  <c:v>420</c:v>
                </c:pt>
                <c:pt idx="21">
                  <c:v>416</c:v>
                </c:pt>
                <c:pt idx="22">
                  <c:v>413</c:v>
                </c:pt>
                <c:pt idx="23">
                  <c:v>412</c:v>
                </c:pt>
                <c:pt idx="24">
                  <c:v>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5-40FC-9E69-F6628EC4626E}"/>
            </c:ext>
          </c:extLst>
        </c:ser>
        <c:ser>
          <c:idx val="3"/>
          <c:order val="3"/>
          <c:tx>
            <c:v>B747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time'!$A$101:$A$125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time'!$B$101:$B$125</c:f>
              <c:numCache>
                <c:formatCode>General</c:formatCode>
                <c:ptCount val="25"/>
                <c:pt idx="0">
                  <c:v>186</c:v>
                </c:pt>
                <c:pt idx="1">
                  <c:v>187</c:v>
                </c:pt>
                <c:pt idx="2">
                  <c:v>188</c:v>
                </c:pt>
                <c:pt idx="3">
                  <c:v>195</c:v>
                </c:pt>
                <c:pt idx="4">
                  <c:v>196</c:v>
                </c:pt>
                <c:pt idx="5">
                  <c:v>220</c:v>
                </c:pt>
                <c:pt idx="6">
                  <c:v>255</c:v>
                </c:pt>
                <c:pt idx="7">
                  <c:v>272</c:v>
                </c:pt>
                <c:pt idx="8">
                  <c:v>280</c:v>
                </c:pt>
                <c:pt idx="9">
                  <c:v>289</c:v>
                </c:pt>
                <c:pt idx="10">
                  <c:v>402</c:v>
                </c:pt>
                <c:pt idx="11">
                  <c:v>413</c:v>
                </c:pt>
                <c:pt idx="12">
                  <c:v>425</c:v>
                </c:pt>
                <c:pt idx="13">
                  <c:v>438</c:v>
                </c:pt>
                <c:pt idx="14">
                  <c:v>450</c:v>
                </c:pt>
                <c:pt idx="15">
                  <c:v>464</c:v>
                </c:pt>
                <c:pt idx="16">
                  <c:v>478</c:v>
                </c:pt>
                <c:pt idx="17">
                  <c:v>492</c:v>
                </c:pt>
                <c:pt idx="18">
                  <c:v>505</c:v>
                </c:pt>
                <c:pt idx="19">
                  <c:v>500</c:v>
                </c:pt>
                <c:pt idx="20">
                  <c:v>496</c:v>
                </c:pt>
                <c:pt idx="21">
                  <c:v>492</c:v>
                </c:pt>
                <c:pt idx="22">
                  <c:v>487</c:v>
                </c:pt>
                <c:pt idx="23">
                  <c:v>487</c:v>
                </c:pt>
                <c:pt idx="24">
                  <c:v>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5-40FC-9E69-F6628EC46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52128"/>
        <c:axId val="217178880"/>
      </c:scatterChart>
      <c:valAx>
        <c:axId val="2171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Flight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78880"/>
        <c:crosses val="autoZero"/>
        <c:crossBetween val="midCat"/>
      </c:valAx>
      <c:valAx>
        <c:axId val="2171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TAS (knots)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5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Rate</a:t>
            </a:r>
            <a:r>
              <a:rPr lang="nl-BE" baseline="0"/>
              <a:t> of climb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A320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time'!$A$5:$A$29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time'!$C$5:$C$29</c:f>
              <c:numCache>
                <c:formatCode>General</c:formatCode>
                <c:ptCount val="25"/>
                <c:pt idx="0">
                  <c:v>2140</c:v>
                </c:pt>
                <c:pt idx="1">
                  <c:v>2120</c:v>
                </c:pt>
                <c:pt idx="2">
                  <c:v>2100</c:v>
                </c:pt>
                <c:pt idx="3">
                  <c:v>2180</c:v>
                </c:pt>
                <c:pt idx="4">
                  <c:v>2160</c:v>
                </c:pt>
                <c:pt idx="5">
                  <c:v>2450</c:v>
                </c:pt>
                <c:pt idx="6">
                  <c:v>2800</c:v>
                </c:pt>
                <c:pt idx="7">
                  <c:v>3010</c:v>
                </c:pt>
                <c:pt idx="8">
                  <c:v>2880</c:v>
                </c:pt>
                <c:pt idx="9">
                  <c:v>2750</c:v>
                </c:pt>
                <c:pt idx="10">
                  <c:v>2670</c:v>
                </c:pt>
                <c:pt idx="11">
                  <c:v>2490</c:v>
                </c:pt>
                <c:pt idx="12">
                  <c:v>2310</c:v>
                </c:pt>
                <c:pt idx="13">
                  <c:v>2130</c:v>
                </c:pt>
                <c:pt idx="14">
                  <c:v>1940</c:v>
                </c:pt>
                <c:pt idx="15">
                  <c:v>1740</c:v>
                </c:pt>
                <c:pt idx="16">
                  <c:v>1550</c:v>
                </c:pt>
                <c:pt idx="17">
                  <c:v>1350</c:v>
                </c:pt>
                <c:pt idx="18">
                  <c:v>1150</c:v>
                </c:pt>
                <c:pt idx="19">
                  <c:v>1360</c:v>
                </c:pt>
                <c:pt idx="20">
                  <c:v>1170</c:v>
                </c:pt>
                <c:pt idx="21">
                  <c:v>970</c:v>
                </c:pt>
                <c:pt idx="22">
                  <c:v>750</c:v>
                </c:pt>
                <c:pt idx="23">
                  <c:v>470</c:v>
                </c:pt>
                <c:pt idx="24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4-498B-9B54-9FB00D57C30E}"/>
            </c:ext>
          </c:extLst>
        </c:ser>
        <c:ser>
          <c:idx val="1"/>
          <c:order val="1"/>
          <c:tx>
            <c:v>A340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time'!$A$37:$A$61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time'!$C$37:$C$61</c:f>
              <c:numCache>
                <c:formatCode>General</c:formatCode>
                <c:ptCount val="25"/>
                <c:pt idx="0">
                  <c:v>1600</c:v>
                </c:pt>
                <c:pt idx="1">
                  <c:v>1590</c:v>
                </c:pt>
                <c:pt idx="2">
                  <c:v>1570</c:v>
                </c:pt>
                <c:pt idx="3">
                  <c:v>1630</c:v>
                </c:pt>
                <c:pt idx="4">
                  <c:v>1610</c:v>
                </c:pt>
                <c:pt idx="5">
                  <c:v>1840</c:v>
                </c:pt>
                <c:pt idx="6">
                  <c:v>2120</c:v>
                </c:pt>
                <c:pt idx="7">
                  <c:v>2270</c:v>
                </c:pt>
                <c:pt idx="8">
                  <c:v>2170</c:v>
                </c:pt>
                <c:pt idx="9">
                  <c:v>2070</c:v>
                </c:pt>
                <c:pt idx="10">
                  <c:v>2070</c:v>
                </c:pt>
                <c:pt idx="11">
                  <c:v>1870</c:v>
                </c:pt>
                <c:pt idx="12">
                  <c:v>1740</c:v>
                </c:pt>
                <c:pt idx="13">
                  <c:v>1600</c:v>
                </c:pt>
                <c:pt idx="14">
                  <c:v>1460</c:v>
                </c:pt>
                <c:pt idx="15">
                  <c:v>1310</c:v>
                </c:pt>
                <c:pt idx="16">
                  <c:v>1170</c:v>
                </c:pt>
                <c:pt idx="17">
                  <c:v>1020</c:v>
                </c:pt>
                <c:pt idx="18">
                  <c:v>880</c:v>
                </c:pt>
                <c:pt idx="19">
                  <c:v>730</c:v>
                </c:pt>
                <c:pt idx="20">
                  <c:v>880</c:v>
                </c:pt>
                <c:pt idx="21">
                  <c:v>750</c:v>
                </c:pt>
                <c:pt idx="22">
                  <c:v>600</c:v>
                </c:pt>
                <c:pt idx="23">
                  <c:v>410</c:v>
                </c:pt>
                <c:pt idx="24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E-4384-A5FE-988EDA9FBFC4}"/>
            </c:ext>
          </c:extLst>
        </c:ser>
        <c:ser>
          <c:idx val="2"/>
          <c:order val="2"/>
          <c:tx>
            <c:v>B737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time'!$A$69:$A$93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time'!$C$69:$C$93</c:f>
              <c:numCache>
                <c:formatCode>General</c:formatCode>
                <c:ptCount val="25"/>
                <c:pt idx="0">
                  <c:v>1560</c:v>
                </c:pt>
                <c:pt idx="1">
                  <c:v>1550</c:v>
                </c:pt>
                <c:pt idx="2">
                  <c:v>1530</c:v>
                </c:pt>
                <c:pt idx="3">
                  <c:v>1630</c:v>
                </c:pt>
                <c:pt idx="4">
                  <c:v>1610</c:v>
                </c:pt>
                <c:pt idx="5">
                  <c:v>1970</c:v>
                </c:pt>
                <c:pt idx="6">
                  <c:v>2400</c:v>
                </c:pt>
                <c:pt idx="7">
                  <c:v>2820</c:v>
                </c:pt>
                <c:pt idx="8">
                  <c:v>2710</c:v>
                </c:pt>
                <c:pt idx="9">
                  <c:v>2600</c:v>
                </c:pt>
                <c:pt idx="10">
                  <c:v>2540</c:v>
                </c:pt>
                <c:pt idx="11">
                  <c:v>2390</c:v>
                </c:pt>
                <c:pt idx="12">
                  <c:v>2220</c:v>
                </c:pt>
                <c:pt idx="13">
                  <c:v>2050</c:v>
                </c:pt>
                <c:pt idx="14">
                  <c:v>1870</c:v>
                </c:pt>
                <c:pt idx="15">
                  <c:v>1680</c:v>
                </c:pt>
                <c:pt idx="16">
                  <c:v>1490</c:v>
                </c:pt>
                <c:pt idx="17">
                  <c:v>1770</c:v>
                </c:pt>
                <c:pt idx="18">
                  <c:v>1560</c:v>
                </c:pt>
                <c:pt idx="19">
                  <c:v>1330</c:v>
                </c:pt>
                <c:pt idx="20">
                  <c:v>1090</c:v>
                </c:pt>
                <c:pt idx="21">
                  <c:v>820</c:v>
                </c:pt>
                <c:pt idx="22">
                  <c:v>540</c:v>
                </c:pt>
                <c:pt idx="23">
                  <c:v>220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8E-4384-A5FE-988EDA9FBFC4}"/>
            </c:ext>
          </c:extLst>
        </c:ser>
        <c:ser>
          <c:idx val="3"/>
          <c:order val="3"/>
          <c:tx>
            <c:v>B747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time'!$A$101:$A$125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time'!$C$101:$C$125</c:f>
              <c:numCache>
                <c:formatCode>General</c:formatCode>
                <c:ptCount val="25"/>
                <c:pt idx="0">
                  <c:v>3010</c:v>
                </c:pt>
                <c:pt idx="1">
                  <c:v>2990</c:v>
                </c:pt>
                <c:pt idx="2">
                  <c:v>2970</c:v>
                </c:pt>
                <c:pt idx="3">
                  <c:v>3040</c:v>
                </c:pt>
                <c:pt idx="4">
                  <c:v>3030</c:v>
                </c:pt>
                <c:pt idx="5">
                  <c:v>3290</c:v>
                </c:pt>
                <c:pt idx="6">
                  <c:v>3580</c:v>
                </c:pt>
                <c:pt idx="7">
                  <c:v>3550</c:v>
                </c:pt>
                <c:pt idx="8">
                  <c:v>3430</c:v>
                </c:pt>
                <c:pt idx="9">
                  <c:v>3310</c:v>
                </c:pt>
                <c:pt idx="10">
                  <c:v>3040</c:v>
                </c:pt>
                <c:pt idx="11">
                  <c:v>2840</c:v>
                </c:pt>
                <c:pt idx="12">
                  <c:v>2640</c:v>
                </c:pt>
                <c:pt idx="13">
                  <c:v>2440</c:v>
                </c:pt>
                <c:pt idx="14">
                  <c:v>2230</c:v>
                </c:pt>
                <c:pt idx="15">
                  <c:v>2010</c:v>
                </c:pt>
                <c:pt idx="16">
                  <c:v>1790</c:v>
                </c:pt>
                <c:pt idx="17">
                  <c:v>1560</c:v>
                </c:pt>
                <c:pt idx="18">
                  <c:v>1980</c:v>
                </c:pt>
                <c:pt idx="19">
                  <c:v>1850</c:v>
                </c:pt>
                <c:pt idx="20">
                  <c:v>1690</c:v>
                </c:pt>
                <c:pt idx="21">
                  <c:v>1500</c:v>
                </c:pt>
                <c:pt idx="22">
                  <c:v>1280</c:v>
                </c:pt>
                <c:pt idx="23">
                  <c:v>930</c:v>
                </c:pt>
                <c:pt idx="24">
                  <c:v>680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8E-4384-A5FE-988EDA9FBFC4}"/>
            </c:ext>
          </c:extLst>
        </c:ser>
        <c:ser>
          <c:idx val="4"/>
          <c:order val="4"/>
          <c:tx>
            <c:v>Approx.</c:v>
          </c:tx>
          <c:spPr>
            <a:ln w="19050" cap="rnd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'Flight time'!$A$132:$A$156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time'!$C$132:$C$156</c:f>
              <c:numCache>
                <c:formatCode>General</c:formatCode>
                <c:ptCount val="2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5-42BF-B91C-15C94289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40256"/>
        <c:axId val="217442176"/>
      </c:scatterChart>
      <c:valAx>
        <c:axId val="21744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Flight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442176"/>
        <c:crosses val="autoZero"/>
        <c:crossBetween val="midCat"/>
      </c:valAx>
      <c:valAx>
        <c:axId val="21744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ROC (ft/min)</a:t>
                </a:r>
              </a:p>
            </c:rich>
          </c:tx>
          <c:layout>
            <c:manualLayout>
              <c:xMode val="edge"/>
              <c:yMode val="edge"/>
              <c:x val="1.2671838968453621E-2"/>
              <c:y val="0.328325654827951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44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Rate</a:t>
            </a:r>
            <a:r>
              <a:rPr lang="nl-BE" baseline="0"/>
              <a:t> of descent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A320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time'!$E$5:$E$29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time'!$G$5:$G$29</c:f>
              <c:numCache>
                <c:formatCode>General</c:formatCode>
                <c:ptCount val="25"/>
                <c:pt idx="0">
                  <c:v>1100</c:v>
                </c:pt>
                <c:pt idx="1">
                  <c:v>1100</c:v>
                </c:pt>
                <c:pt idx="2">
                  <c:v>1100</c:v>
                </c:pt>
                <c:pt idx="3">
                  <c:v>1100</c:v>
                </c:pt>
                <c:pt idx="4">
                  <c:v>1150</c:v>
                </c:pt>
                <c:pt idx="5">
                  <c:v>1330</c:v>
                </c:pt>
                <c:pt idx="6">
                  <c:v>1340</c:v>
                </c:pt>
                <c:pt idx="7">
                  <c:v>1370</c:v>
                </c:pt>
                <c:pt idx="8">
                  <c:v>1640</c:v>
                </c:pt>
                <c:pt idx="9">
                  <c:v>1680</c:v>
                </c:pt>
                <c:pt idx="10">
                  <c:v>2310</c:v>
                </c:pt>
                <c:pt idx="11">
                  <c:v>2340</c:v>
                </c:pt>
                <c:pt idx="12">
                  <c:v>2370</c:v>
                </c:pt>
                <c:pt idx="13">
                  <c:v>2400</c:v>
                </c:pt>
                <c:pt idx="14">
                  <c:v>2740</c:v>
                </c:pt>
                <c:pt idx="15">
                  <c:v>2760</c:v>
                </c:pt>
                <c:pt idx="16">
                  <c:v>2770</c:v>
                </c:pt>
                <c:pt idx="17">
                  <c:v>2780</c:v>
                </c:pt>
                <c:pt idx="18">
                  <c:v>2790</c:v>
                </c:pt>
                <c:pt idx="19">
                  <c:v>3830</c:v>
                </c:pt>
                <c:pt idx="20">
                  <c:v>3620</c:v>
                </c:pt>
                <c:pt idx="21">
                  <c:v>3430</c:v>
                </c:pt>
                <c:pt idx="22">
                  <c:v>3270</c:v>
                </c:pt>
                <c:pt idx="23">
                  <c:v>2910</c:v>
                </c:pt>
                <c:pt idx="24">
                  <c:v>2840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83-4438-B021-60426E87AFDA}"/>
            </c:ext>
          </c:extLst>
        </c:ser>
        <c:ser>
          <c:idx val="1"/>
          <c:order val="1"/>
          <c:tx>
            <c:v>A340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time'!$E$37:$E$61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time'!$G$37:$G$61</c:f>
              <c:numCache>
                <c:formatCode>General</c:formatCode>
                <c:ptCount val="25"/>
                <c:pt idx="0">
                  <c:v>890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960</c:v>
                </c:pt>
                <c:pt idx="5">
                  <c:v>1050</c:v>
                </c:pt>
                <c:pt idx="6">
                  <c:v>1060</c:v>
                </c:pt>
                <c:pt idx="7">
                  <c:v>1090</c:v>
                </c:pt>
                <c:pt idx="8">
                  <c:v>1300</c:v>
                </c:pt>
                <c:pt idx="9">
                  <c:v>1330</c:v>
                </c:pt>
                <c:pt idx="10">
                  <c:v>1830</c:v>
                </c:pt>
                <c:pt idx="11">
                  <c:v>1860</c:v>
                </c:pt>
                <c:pt idx="12">
                  <c:v>1890</c:v>
                </c:pt>
                <c:pt idx="13">
                  <c:v>1920</c:v>
                </c:pt>
                <c:pt idx="14">
                  <c:v>1950</c:v>
                </c:pt>
                <c:pt idx="15">
                  <c:v>1980</c:v>
                </c:pt>
                <c:pt idx="16">
                  <c:v>2010</c:v>
                </c:pt>
                <c:pt idx="17">
                  <c:v>2030</c:v>
                </c:pt>
                <c:pt idx="18">
                  <c:v>2060</c:v>
                </c:pt>
                <c:pt idx="19">
                  <c:v>1910</c:v>
                </c:pt>
                <c:pt idx="20">
                  <c:v>2700</c:v>
                </c:pt>
                <c:pt idx="21">
                  <c:v>2570</c:v>
                </c:pt>
                <c:pt idx="22">
                  <c:v>2470</c:v>
                </c:pt>
                <c:pt idx="23">
                  <c:v>2200</c:v>
                </c:pt>
                <c:pt idx="24">
                  <c:v>2180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F-42D9-8E07-03DD18787D6C}"/>
            </c:ext>
          </c:extLst>
        </c:ser>
        <c:ser>
          <c:idx val="2"/>
          <c:order val="2"/>
          <c:tx>
            <c:v>B737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time'!$E$69:$E$93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time'!$G$69:$G$93</c:f>
              <c:numCache>
                <c:formatCode>General</c:formatCode>
                <c:ptCount val="25"/>
                <c:pt idx="0">
                  <c:v>1200</c:v>
                </c:pt>
                <c:pt idx="1">
                  <c:v>1210</c:v>
                </c:pt>
                <c:pt idx="2">
                  <c:v>1190</c:v>
                </c:pt>
                <c:pt idx="3">
                  <c:v>1160</c:v>
                </c:pt>
                <c:pt idx="4">
                  <c:v>1120</c:v>
                </c:pt>
                <c:pt idx="5">
                  <c:v>1260</c:v>
                </c:pt>
                <c:pt idx="6">
                  <c:v>1280</c:v>
                </c:pt>
                <c:pt idx="7">
                  <c:v>1310</c:v>
                </c:pt>
                <c:pt idx="8">
                  <c:v>1560</c:v>
                </c:pt>
                <c:pt idx="9">
                  <c:v>1600</c:v>
                </c:pt>
                <c:pt idx="10">
                  <c:v>1940</c:v>
                </c:pt>
                <c:pt idx="11">
                  <c:v>1980</c:v>
                </c:pt>
                <c:pt idx="12">
                  <c:v>2020</c:v>
                </c:pt>
                <c:pt idx="13">
                  <c:v>2060</c:v>
                </c:pt>
                <c:pt idx="14">
                  <c:v>2110</c:v>
                </c:pt>
                <c:pt idx="15">
                  <c:v>2150</c:v>
                </c:pt>
                <c:pt idx="16">
                  <c:v>2190</c:v>
                </c:pt>
                <c:pt idx="17">
                  <c:v>1940</c:v>
                </c:pt>
                <c:pt idx="18">
                  <c:v>1990</c:v>
                </c:pt>
                <c:pt idx="19">
                  <c:v>2620</c:v>
                </c:pt>
                <c:pt idx="20">
                  <c:v>2550</c:v>
                </c:pt>
                <c:pt idx="21">
                  <c:v>2500</c:v>
                </c:pt>
                <c:pt idx="22">
                  <c:v>2480</c:v>
                </c:pt>
                <c:pt idx="23">
                  <c:v>2330</c:v>
                </c:pt>
                <c:pt idx="24">
                  <c:v>2380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F-42D9-8E07-03DD18787D6C}"/>
            </c:ext>
          </c:extLst>
        </c:ser>
        <c:ser>
          <c:idx val="3"/>
          <c:order val="3"/>
          <c:tx>
            <c:v>B747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time'!$E$101:$E$125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time'!$G$101:$G$125</c:f>
              <c:numCache>
                <c:formatCode>General</c:formatCode>
                <c:ptCount val="25"/>
                <c:pt idx="0">
                  <c:v>1050</c:v>
                </c:pt>
                <c:pt idx="1">
                  <c:v>1060</c:v>
                </c:pt>
                <c:pt idx="2">
                  <c:v>1070</c:v>
                </c:pt>
                <c:pt idx="3">
                  <c:v>1100</c:v>
                </c:pt>
                <c:pt idx="4">
                  <c:v>1230</c:v>
                </c:pt>
                <c:pt idx="5">
                  <c:v>1270</c:v>
                </c:pt>
                <c:pt idx="6">
                  <c:v>1290</c:v>
                </c:pt>
                <c:pt idx="7">
                  <c:v>1340</c:v>
                </c:pt>
                <c:pt idx="8">
                  <c:v>1640</c:v>
                </c:pt>
                <c:pt idx="9">
                  <c:v>1690</c:v>
                </c:pt>
                <c:pt idx="10">
                  <c:v>2270</c:v>
                </c:pt>
                <c:pt idx="11">
                  <c:v>2320</c:v>
                </c:pt>
                <c:pt idx="12">
                  <c:v>2370</c:v>
                </c:pt>
                <c:pt idx="13">
                  <c:v>2420</c:v>
                </c:pt>
                <c:pt idx="14">
                  <c:v>2470</c:v>
                </c:pt>
                <c:pt idx="15">
                  <c:v>2520</c:v>
                </c:pt>
                <c:pt idx="16">
                  <c:v>2570</c:v>
                </c:pt>
                <c:pt idx="17">
                  <c:v>2610</c:v>
                </c:pt>
                <c:pt idx="18">
                  <c:v>2660</c:v>
                </c:pt>
                <c:pt idx="19">
                  <c:v>2700</c:v>
                </c:pt>
                <c:pt idx="20">
                  <c:v>2740</c:v>
                </c:pt>
                <c:pt idx="21">
                  <c:v>2780</c:v>
                </c:pt>
                <c:pt idx="22">
                  <c:v>2070</c:v>
                </c:pt>
                <c:pt idx="23">
                  <c:v>1870</c:v>
                </c:pt>
                <c:pt idx="24">
                  <c:v>1910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F-42D9-8E07-03DD18787D6C}"/>
            </c:ext>
          </c:extLst>
        </c:ser>
        <c:ser>
          <c:idx val="4"/>
          <c:order val="4"/>
          <c:tx>
            <c:v>Approx.</c:v>
          </c:tx>
          <c:spPr>
            <a:ln w="19050" cap="rnd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'Flight time'!$A$132:$A$156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time'!$G$132:$G$156</c:f>
              <c:numCache>
                <c:formatCode>General</c:formatCode>
                <c:ptCount val="2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19-4662-9E88-14F3AF187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09056"/>
        <c:axId val="218110976"/>
      </c:scatterChart>
      <c:valAx>
        <c:axId val="21810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Flight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110976"/>
        <c:crosses val="autoZero"/>
        <c:crossBetween val="midCat"/>
      </c:valAx>
      <c:valAx>
        <c:axId val="2181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ROD (ft/min)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109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TAS Descent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A320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time'!$E$5:$E$29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time'!$F$5:$F$29</c:f>
              <c:numCache>
                <c:formatCode>General</c:formatCode>
                <c:ptCount val="25"/>
                <c:pt idx="0">
                  <c:v>142</c:v>
                </c:pt>
                <c:pt idx="1">
                  <c:v>143</c:v>
                </c:pt>
                <c:pt idx="2">
                  <c:v>149</c:v>
                </c:pt>
                <c:pt idx="3">
                  <c:v>160</c:v>
                </c:pt>
                <c:pt idx="4">
                  <c:v>192</c:v>
                </c:pt>
                <c:pt idx="5">
                  <c:v>230</c:v>
                </c:pt>
                <c:pt idx="6">
                  <c:v>233</c:v>
                </c:pt>
                <c:pt idx="7">
                  <c:v>240</c:v>
                </c:pt>
                <c:pt idx="8">
                  <c:v>280</c:v>
                </c:pt>
                <c:pt idx="9">
                  <c:v>289</c:v>
                </c:pt>
                <c:pt idx="10">
                  <c:v>356</c:v>
                </c:pt>
                <c:pt idx="11">
                  <c:v>366</c:v>
                </c:pt>
                <c:pt idx="12">
                  <c:v>377</c:v>
                </c:pt>
                <c:pt idx="13">
                  <c:v>388</c:v>
                </c:pt>
                <c:pt idx="14">
                  <c:v>400</c:v>
                </c:pt>
                <c:pt idx="15">
                  <c:v>412</c:v>
                </c:pt>
                <c:pt idx="16">
                  <c:v>425</c:v>
                </c:pt>
                <c:pt idx="17">
                  <c:v>438</c:v>
                </c:pt>
                <c:pt idx="18">
                  <c:v>452</c:v>
                </c:pt>
                <c:pt idx="19">
                  <c:v>459</c:v>
                </c:pt>
                <c:pt idx="20">
                  <c:v>455</c:v>
                </c:pt>
                <c:pt idx="21">
                  <c:v>451</c:v>
                </c:pt>
                <c:pt idx="22">
                  <c:v>447</c:v>
                </c:pt>
                <c:pt idx="23">
                  <c:v>447</c:v>
                </c:pt>
                <c:pt idx="24">
                  <c:v>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1-47ED-B640-E944535825A0}"/>
            </c:ext>
          </c:extLst>
        </c:ser>
        <c:ser>
          <c:idx val="1"/>
          <c:order val="1"/>
          <c:tx>
            <c:v>A340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time'!$E$37:$E$61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time'!$F$37:$F$61</c:f>
              <c:numCache>
                <c:formatCode>General</c:formatCode>
                <c:ptCount val="25"/>
                <c:pt idx="0">
                  <c:v>154</c:v>
                </c:pt>
                <c:pt idx="1">
                  <c:v>156</c:v>
                </c:pt>
                <c:pt idx="2">
                  <c:v>162</c:v>
                </c:pt>
                <c:pt idx="3">
                  <c:v>173</c:v>
                </c:pt>
                <c:pt idx="4">
                  <c:v>205</c:v>
                </c:pt>
                <c:pt idx="5">
                  <c:v>230</c:v>
                </c:pt>
                <c:pt idx="6">
                  <c:v>233</c:v>
                </c:pt>
                <c:pt idx="7">
                  <c:v>240</c:v>
                </c:pt>
                <c:pt idx="8">
                  <c:v>280</c:v>
                </c:pt>
                <c:pt idx="9">
                  <c:v>289</c:v>
                </c:pt>
                <c:pt idx="10">
                  <c:v>356</c:v>
                </c:pt>
                <c:pt idx="11">
                  <c:v>366</c:v>
                </c:pt>
                <c:pt idx="12">
                  <c:v>377</c:v>
                </c:pt>
                <c:pt idx="13">
                  <c:v>388</c:v>
                </c:pt>
                <c:pt idx="14">
                  <c:v>400</c:v>
                </c:pt>
                <c:pt idx="15">
                  <c:v>412</c:v>
                </c:pt>
                <c:pt idx="16">
                  <c:v>425</c:v>
                </c:pt>
                <c:pt idx="17">
                  <c:v>438</c:v>
                </c:pt>
                <c:pt idx="18">
                  <c:v>452</c:v>
                </c:pt>
                <c:pt idx="19">
                  <c:v>466</c:v>
                </c:pt>
                <c:pt idx="20">
                  <c:v>473</c:v>
                </c:pt>
                <c:pt idx="21">
                  <c:v>468</c:v>
                </c:pt>
                <c:pt idx="22">
                  <c:v>464</c:v>
                </c:pt>
                <c:pt idx="23">
                  <c:v>464</c:v>
                </c:pt>
                <c:pt idx="24">
                  <c:v>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4-48EB-AE58-F811A1EB8ECA}"/>
            </c:ext>
          </c:extLst>
        </c:ser>
        <c:ser>
          <c:idx val="2"/>
          <c:order val="2"/>
          <c:tx>
            <c:v>B737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time'!$E$69:$E$93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time'!$F$69:$F$93</c:f>
              <c:numCache>
                <c:formatCode>General</c:formatCode>
                <c:ptCount val="25"/>
                <c:pt idx="0">
                  <c:v>132</c:v>
                </c:pt>
                <c:pt idx="1">
                  <c:v>133</c:v>
                </c:pt>
                <c:pt idx="2">
                  <c:v>139</c:v>
                </c:pt>
                <c:pt idx="3">
                  <c:v>151</c:v>
                </c:pt>
                <c:pt idx="4">
                  <c:v>183</c:v>
                </c:pt>
                <c:pt idx="5">
                  <c:v>230</c:v>
                </c:pt>
                <c:pt idx="6">
                  <c:v>233</c:v>
                </c:pt>
                <c:pt idx="7">
                  <c:v>240</c:v>
                </c:pt>
                <c:pt idx="8">
                  <c:v>280</c:v>
                </c:pt>
                <c:pt idx="9">
                  <c:v>289</c:v>
                </c:pt>
                <c:pt idx="10">
                  <c:v>332</c:v>
                </c:pt>
                <c:pt idx="11">
                  <c:v>342</c:v>
                </c:pt>
                <c:pt idx="12">
                  <c:v>353</c:v>
                </c:pt>
                <c:pt idx="13">
                  <c:v>363</c:v>
                </c:pt>
                <c:pt idx="14">
                  <c:v>375</c:v>
                </c:pt>
                <c:pt idx="15">
                  <c:v>386</c:v>
                </c:pt>
                <c:pt idx="16">
                  <c:v>398</c:v>
                </c:pt>
                <c:pt idx="17">
                  <c:v>411</c:v>
                </c:pt>
                <c:pt idx="18">
                  <c:v>424</c:v>
                </c:pt>
                <c:pt idx="19">
                  <c:v>424</c:v>
                </c:pt>
                <c:pt idx="20">
                  <c:v>420</c:v>
                </c:pt>
                <c:pt idx="21">
                  <c:v>416</c:v>
                </c:pt>
                <c:pt idx="22">
                  <c:v>413</c:v>
                </c:pt>
                <c:pt idx="23">
                  <c:v>412</c:v>
                </c:pt>
                <c:pt idx="24">
                  <c:v>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4-48EB-AE58-F811A1EB8ECA}"/>
            </c:ext>
          </c:extLst>
        </c:ser>
        <c:ser>
          <c:idx val="3"/>
          <c:order val="3"/>
          <c:tx>
            <c:v>B747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time'!$E$101:$E$125</c:f>
              <c:numCache>
                <c:formatCode>General</c:formatCode>
                <c:ptCount val="2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'Flight time'!$F$101:$F$125</c:f>
              <c:numCache>
                <c:formatCode>General</c:formatCode>
                <c:ptCount val="25"/>
                <c:pt idx="0">
                  <c:v>171</c:v>
                </c:pt>
                <c:pt idx="1">
                  <c:v>173</c:v>
                </c:pt>
                <c:pt idx="2">
                  <c:v>179</c:v>
                </c:pt>
                <c:pt idx="3">
                  <c:v>190</c:v>
                </c:pt>
                <c:pt idx="4">
                  <c:v>223</c:v>
                </c:pt>
                <c:pt idx="5">
                  <c:v>230</c:v>
                </c:pt>
                <c:pt idx="6">
                  <c:v>233</c:v>
                </c:pt>
                <c:pt idx="7">
                  <c:v>240</c:v>
                </c:pt>
                <c:pt idx="8">
                  <c:v>280</c:v>
                </c:pt>
                <c:pt idx="9">
                  <c:v>289</c:v>
                </c:pt>
                <c:pt idx="10">
                  <c:v>344</c:v>
                </c:pt>
                <c:pt idx="11">
                  <c:v>354</c:v>
                </c:pt>
                <c:pt idx="12">
                  <c:v>365</c:v>
                </c:pt>
                <c:pt idx="13">
                  <c:v>376</c:v>
                </c:pt>
                <c:pt idx="14">
                  <c:v>387</c:v>
                </c:pt>
                <c:pt idx="15">
                  <c:v>399</c:v>
                </c:pt>
                <c:pt idx="16">
                  <c:v>412</c:v>
                </c:pt>
                <c:pt idx="17">
                  <c:v>424</c:v>
                </c:pt>
                <c:pt idx="18">
                  <c:v>438</c:v>
                </c:pt>
                <c:pt idx="19">
                  <c:v>452</c:v>
                </c:pt>
                <c:pt idx="20">
                  <c:v>466</c:v>
                </c:pt>
                <c:pt idx="21">
                  <c:v>481</c:v>
                </c:pt>
                <c:pt idx="22">
                  <c:v>487</c:v>
                </c:pt>
                <c:pt idx="23">
                  <c:v>487</c:v>
                </c:pt>
                <c:pt idx="24">
                  <c:v>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4-48EB-AE58-F811A1EB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8304"/>
        <c:axId val="218180224"/>
      </c:scatterChart>
      <c:valAx>
        <c:axId val="21817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Flight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180224"/>
        <c:crosses val="autoZero"/>
        <c:crossBetween val="midCat"/>
      </c:valAx>
      <c:valAx>
        <c:axId val="2181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TAS (knots)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17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Difference between flight time model and simple equation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Flight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time'!$K$49:$S$49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xVal>
          <c:yVal>
            <c:numRef>
              <c:f>'Flight time'!$K$52:$S$52</c:f>
              <c:numCache>
                <c:formatCode>0.00%</c:formatCode>
                <c:ptCount val="9"/>
                <c:pt idx="0">
                  <c:v>8.4985835694051694E-3</c:v>
                </c:pt>
                <c:pt idx="1">
                  <c:v>9.5541401273884722E-3</c:v>
                </c:pt>
                <c:pt idx="2">
                  <c:v>1.4184397163120581E-2</c:v>
                </c:pt>
                <c:pt idx="3">
                  <c:v>2.3346303501945546E-2</c:v>
                </c:pt>
                <c:pt idx="4">
                  <c:v>3.8297872340425469E-2</c:v>
                </c:pt>
                <c:pt idx="5">
                  <c:v>5.0691244239631283E-2</c:v>
                </c:pt>
                <c:pt idx="6">
                  <c:v>5.9405940594059459E-2</c:v>
                </c:pt>
                <c:pt idx="7">
                  <c:v>7.4468085106383045E-2</c:v>
                </c:pt>
                <c:pt idx="8">
                  <c:v>7.909604519774005E-2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C0-486B-A238-EB2E767B74C5}"/>
            </c:ext>
          </c:extLst>
        </c:ser>
        <c:ser>
          <c:idx val="1"/>
          <c:order val="1"/>
          <c:tx>
            <c:v>Annual DOC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time'!$K$49:$S$49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xVal>
          <c:yVal>
            <c:numRef>
              <c:f>'Flight time'!$K$58:$S$58</c:f>
              <c:numCache>
                <c:formatCode>0.00%</c:formatCode>
                <c:ptCount val="9"/>
                <c:pt idx="0">
                  <c:v>3.2597791172567801E-2</c:v>
                </c:pt>
                <c:pt idx="1">
                  <c:v>3.119238165539738E-2</c:v>
                </c:pt>
                <c:pt idx="2">
                  <c:v>2.2899585281209865E-2</c:v>
                </c:pt>
                <c:pt idx="3">
                  <c:v>1.0501043814994405E-2</c:v>
                </c:pt>
                <c:pt idx="4">
                  <c:v>-5.3735268306451354E-4</c:v>
                </c:pt>
                <c:pt idx="5">
                  <c:v>-8.5375977977113961E-3</c:v>
                </c:pt>
                <c:pt idx="6">
                  <c:v>-1.4138127720741227E-2</c:v>
                </c:pt>
                <c:pt idx="7">
                  <c:v>-1.9647800120071966E-2</c:v>
                </c:pt>
                <c:pt idx="8">
                  <c:v>-2.0944193555865756E-2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C0-486B-A238-EB2E767B74C5}"/>
            </c:ext>
          </c:extLst>
        </c:ser>
        <c:ser>
          <c:idx val="2"/>
          <c:order val="2"/>
          <c:tx>
            <c:v>Seat-mile cost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time'!$K$49:$S$49</c:f>
              <c:numCache>
                <c:formatCode>General</c:formatCode>
                <c:ptCount val="9"/>
                <c:pt idx="0">
                  <c:v>0.4</c:v>
                </c:pt>
                <c:pt idx="1">
                  <c:v>0.45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</c:numCache>
            </c:numRef>
          </c:xVal>
          <c:yVal>
            <c:numRef>
              <c:f>'Flight time'!$K$63:$S$63</c:f>
              <c:numCache>
                <c:formatCode>0.00%</c:formatCode>
                <c:ptCount val="9"/>
                <c:pt idx="0">
                  <c:v>4.0915609973727875E-2</c:v>
                </c:pt>
                <c:pt idx="1">
                  <c:v>3.9821606606488404E-2</c:v>
                </c:pt>
                <c:pt idx="2">
                  <c:v>3.37291285325029E-2</c:v>
                </c:pt>
                <c:pt idx="3">
                  <c:v>2.7797908528944853E-2</c:v>
                </c:pt>
                <c:pt idx="4">
                  <c:v>2.750879303246161E-2</c:v>
                </c:pt>
                <c:pt idx="5">
                  <c:v>2.7471932548618686E-2</c:v>
                </c:pt>
                <c:pt idx="6">
                  <c:v>2.763568042668493E-2</c:v>
                </c:pt>
                <c:pt idx="7">
                  <c:v>3.175914684556682E-2</c:v>
                </c:pt>
                <c:pt idx="8">
                  <c:v>3.5419360333242195E-2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C0-486B-A238-EB2E767B7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42048"/>
        <c:axId val="218248320"/>
      </c:scatterChart>
      <c:valAx>
        <c:axId val="218242048"/>
        <c:scaling>
          <c:orientation val="minMax"/>
          <c:min val="0.350000000000000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Mach</a:t>
                </a:r>
                <a:r>
                  <a:rPr lang="nl-BE" baseline="0"/>
                  <a:t> number</a:t>
                </a:r>
                <a:endParaRPr lang="nl-B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248320"/>
        <c:crosses val="autoZero"/>
        <c:crossBetween val="midCat"/>
      </c:valAx>
      <c:valAx>
        <c:axId val="2182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24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Airbus A320 flight</a:t>
            </a:r>
            <a:r>
              <a:rPr lang="nl-BE" baseline="0"/>
              <a:t> time approximation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time'!$A$132:$A$155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30</c:v>
                </c:pt>
                <c:pt idx="6">
                  <c:v>40</c:v>
                </c:pt>
                <c:pt idx="7">
                  <c:v>60</c:v>
                </c:pt>
                <c:pt idx="8">
                  <c:v>80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</c:numCache>
            </c:numRef>
          </c:xVal>
          <c:yVal>
            <c:numRef>
              <c:f>'Flight time'!$B$132:$B$155</c:f>
              <c:numCache>
                <c:formatCode>0.00</c:formatCode>
                <c:ptCount val="24"/>
                <c:pt idx="0">
                  <c:v>150</c:v>
                </c:pt>
                <c:pt idx="1">
                  <c:v>157</c:v>
                </c:pt>
                <c:pt idx="2">
                  <c:v>164</c:v>
                </c:pt>
                <c:pt idx="3">
                  <c:v>171</c:v>
                </c:pt>
                <c:pt idx="4">
                  <c:v>178</c:v>
                </c:pt>
                <c:pt idx="5">
                  <c:v>192</c:v>
                </c:pt>
                <c:pt idx="6">
                  <c:v>206</c:v>
                </c:pt>
                <c:pt idx="7">
                  <c:v>234</c:v>
                </c:pt>
                <c:pt idx="8">
                  <c:v>262</c:v>
                </c:pt>
                <c:pt idx="9">
                  <c:v>290</c:v>
                </c:pt>
                <c:pt idx="10">
                  <c:v>360</c:v>
                </c:pt>
                <c:pt idx="11">
                  <c:v>377.3569339723341</c:v>
                </c:pt>
                <c:pt idx="12">
                  <c:v>394.71386794466827</c:v>
                </c:pt>
                <c:pt idx="13">
                  <c:v>412.07080191700237</c:v>
                </c:pt>
                <c:pt idx="14">
                  <c:v>429.42773588933653</c:v>
                </c:pt>
                <c:pt idx="15">
                  <c:v>446.78466986167064</c:v>
                </c:pt>
                <c:pt idx="16">
                  <c:v>464.1416038340048</c:v>
                </c:pt>
                <c:pt idx="17">
                  <c:v>481.4985378063389</c:v>
                </c:pt>
                <c:pt idx="18">
                  <c:v>498.85547177867306</c:v>
                </c:pt>
                <c:pt idx="19">
                  <c:v>516.21240575100717</c:v>
                </c:pt>
                <c:pt idx="20">
                  <c:v>516.21240575100717</c:v>
                </c:pt>
                <c:pt idx="21">
                  <c:v>516.21240575100717</c:v>
                </c:pt>
                <c:pt idx="22">
                  <c:v>516.21240575100717</c:v>
                </c:pt>
                <c:pt idx="23">
                  <c:v>516.21240575100717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F-4211-A1ED-04728A9CB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74816"/>
        <c:axId val="218305664"/>
      </c:scatterChart>
      <c:valAx>
        <c:axId val="21827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Flight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305664"/>
        <c:crosses val="autoZero"/>
        <c:crossBetween val="midCat"/>
      </c:valAx>
      <c:valAx>
        <c:axId val="2183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TAS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27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Forcing factor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'Extra information'!$B$17</c:f>
              <c:strCache>
                <c:ptCount val="1"/>
                <c:pt idx="0">
                  <c:v>Forcing factor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'Extra information'!$A$18:$A$31</c:f>
              <c:numCache>
                <c:formatCode>General</c:formatCode>
                <c:ptCount val="14"/>
                <c:pt idx="0">
                  <c:v>16000</c:v>
                </c:pt>
                <c:pt idx="1">
                  <c:v>17470.3</c:v>
                </c:pt>
                <c:pt idx="2">
                  <c:v>19547.900000000001</c:v>
                </c:pt>
                <c:pt idx="3">
                  <c:v>21529.7</c:v>
                </c:pt>
                <c:pt idx="4">
                  <c:v>23511.4</c:v>
                </c:pt>
                <c:pt idx="5">
                  <c:v>25525.1</c:v>
                </c:pt>
                <c:pt idx="6">
                  <c:v>27506.799999999999</c:v>
                </c:pt>
                <c:pt idx="7">
                  <c:v>29456.6</c:v>
                </c:pt>
                <c:pt idx="8">
                  <c:v>31598.2</c:v>
                </c:pt>
                <c:pt idx="9">
                  <c:v>33547.9</c:v>
                </c:pt>
                <c:pt idx="10">
                  <c:v>35529.699999999997</c:v>
                </c:pt>
                <c:pt idx="11">
                  <c:v>37543.4</c:v>
                </c:pt>
                <c:pt idx="12">
                  <c:v>39557.1</c:v>
                </c:pt>
                <c:pt idx="13">
                  <c:v>41538.800000000003</c:v>
                </c:pt>
              </c:numCache>
            </c:numRef>
          </c:xVal>
          <c:yVal>
            <c:numRef>
              <c:f>'Extra information'!$B$18:$B$31</c:f>
              <c:numCache>
                <c:formatCode>General</c:formatCode>
                <c:ptCount val="14"/>
                <c:pt idx="0">
                  <c:v>2.8449499999999999E-2</c:v>
                </c:pt>
                <c:pt idx="1">
                  <c:v>2.8449499999999999E-2</c:v>
                </c:pt>
                <c:pt idx="2">
                  <c:v>0</c:v>
                </c:pt>
                <c:pt idx="3">
                  <c:v>0</c:v>
                </c:pt>
                <c:pt idx="4">
                  <c:v>0.173542</c:v>
                </c:pt>
                <c:pt idx="5">
                  <c:v>0.39544800000000002</c:v>
                </c:pt>
                <c:pt idx="6">
                  <c:v>0.799431</c:v>
                </c:pt>
                <c:pt idx="7">
                  <c:v>1.2517799999999999</c:v>
                </c:pt>
                <c:pt idx="8">
                  <c:v>1.7098199999999999</c:v>
                </c:pt>
                <c:pt idx="9">
                  <c:v>2.1052599999999999</c:v>
                </c:pt>
                <c:pt idx="10">
                  <c:v>1.82077</c:v>
                </c:pt>
                <c:pt idx="11">
                  <c:v>1.5334300000000001</c:v>
                </c:pt>
                <c:pt idx="12">
                  <c:v>0.967283</c:v>
                </c:pt>
                <c:pt idx="13">
                  <c:v>0.79374100000000003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E-460C-AB68-AB333A92F2A5}"/>
            </c:ext>
          </c:extLst>
        </c:ser>
        <c:ser>
          <c:idx val="1"/>
          <c:order val="1"/>
          <c:tx>
            <c:strRef>
              <c:f>'Extra information'!$E$17</c:f>
              <c:strCache>
                <c:ptCount val="1"/>
                <c:pt idx="0">
                  <c:v>Forcing factor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'Extra information'!$D$18:$D$31</c:f>
              <c:numCache>
                <c:formatCode>General</c:formatCode>
                <c:ptCount val="14"/>
                <c:pt idx="0">
                  <c:v>16000</c:v>
                </c:pt>
                <c:pt idx="1">
                  <c:v>17502.3</c:v>
                </c:pt>
                <c:pt idx="2">
                  <c:v>19484</c:v>
                </c:pt>
                <c:pt idx="3">
                  <c:v>21497.7</c:v>
                </c:pt>
                <c:pt idx="4">
                  <c:v>23479.5</c:v>
                </c:pt>
                <c:pt idx="5">
                  <c:v>25525.1</c:v>
                </c:pt>
                <c:pt idx="6">
                  <c:v>27506.799999999999</c:v>
                </c:pt>
                <c:pt idx="7">
                  <c:v>29520.5</c:v>
                </c:pt>
                <c:pt idx="8">
                  <c:v>31502.3</c:v>
                </c:pt>
                <c:pt idx="9">
                  <c:v>33484</c:v>
                </c:pt>
                <c:pt idx="10">
                  <c:v>35561.599999999999</c:v>
                </c:pt>
                <c:pt idx="11">
                  <c:v>37575.300000000003</c:v>
                </c:pt>
                <c:pt idx="12" formatCode="0.0">
                  <c:v>39589</c:v>
                </c:pt>
                <c:pt idx="13">
                  <c:v>41538.800000000003</c:v>
                </c:pt>
              </c:numCache>
            </c:numRef>
          </c:xVal>
          <c:yVal>
            <c:numRef>
              <c:f>'Extra information'!$E$18:$E$31</c:f>
              <c:numCache>
                <c:formatCode>General</c:formatCode>
                <c:ptCount val="14"/>
                <c:pt idx="0">
                  <c:v>0.46941699999999997</c:v>
                </c:pt>
                <c:pt idx="1">
                  <c:v>0.46941699999999997</c:v>
                </c:pt>
                <c:pt idx="2">
                  <c:v>0.55761000000000005</c:v>
                </c:pt>
                <c:pt idx="3">
                  <c:v>0.62019899999999994</c:v>
                </c:pt>
                <c:pt idx="4">
                  <c:v>0.71123800000000004</c:v>
                </c:pt>
                <c:pt idx="5">
                  <c:v>0.71123800000000004</c:v>
                </c:pt>
                <c:pt idx="6">
                  <c:v>0.81365600000000005</c:v>
                </c:pt>
                <c:pt idx="7">
                  <c:v>0.93029899999999999</c:v>
                </c:pt>
                <c:pt idx="8">
                  <c:v>1.00996</c:v>
                </c:pt>
                <c:pt idx="9">
                  <c:v>1.13229</c:v>
                </c:pt>
                <c:pt idx="10">
                  <c:v>1.4281600000000001</c:v>
                </c:pt>
                <c:pt idx="11">
                  <c:v>1.6244700000000001</c:v>
                </c:pt>
                <c:pt idx="12">
                  <c:v>1.8037000000000001</c:v>
                </c:pt>
                <c:pt idx="13">
                  <c:v>1.9317200000000001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E-460C-AB68-AB333A92F2A5}"/>
            </c:ext>
          </c:extLst>
        </c:ser>
        <c:ser>
          <c:idx val="2"/>
          <c:order val="2"/>
          <c:tx>
            <c:strRef>
              <c:f>'Extra information'!$H$17</c:f>
              <c:strCache>
                <c:ptCount val="1"/>
                <c:pt idx="0">
                  <c:v>Forcing factor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'Extra information'!$G$18:$G$31</c:f>
              <c:numCache>
                <c:formatCode>General</c:formatCode>
                <c:ptCount val="14"/>
                <c:pt idx="0">
                  <c:v>16000</c:v>
                </c:pt>
                <c:pt idx="1">
                  <c:v>17470.3</c:v>
                </c:pt>
                <c:pt idx="2">
                  <c:v>19484</c:v>
                </c:pt>
                <c:pt idx="3">
                  <c:v>21497.7</c:v>
                </c:pt>
                <c:pt idx="4">
                  <c:v>23543.4</c:v>
                </c:pt>
                <c:pt idx="5">
                  <c:v>25525.1</c:v>
                </c:pt>
                <c:pt idx="6">
                  <c:v>27538.799999999999</c:v>
                </c:pt>
                <c:pt idx="7">
                  <c:v>29520.5</c:v>
                </c:pt>
                <c:pt idx="8">
                  <c:v>31534.2</c:v>
                </c:pt>
                <c:pt idx="9">
                  <c:v>33516</c:v>
                </c:pt>
                <c:pt idx="10">
                  <c:v>35561.599999999999</c:v>
                </c:pt>
                <c:pt idx="11">
                  <c:v>37543.4</c:v>
                </c:pt>
                <c:pt idx="12">
                  <c:v>39589</c:v>
                </c:pt>
                <c:pt idx="13">
                  <c:v>41570.800000000003</c:v>
                </c:pt>
              </c:numCache>
            </c:numRef>
          </c:xVal>
          <c:yVal>
            <c:numRef>
              <c:f>'Extra information'!$H$18:$H$31</c:f>
              <c:numCache>
                <c:formatCode>General</c:formatCode>
                <c:ptCount val="14"/>
                <c:pt idx="0">
                  <c:v>0.86770999999999998</c:v>
                </c:pt>
                <c:pt idx="1">
                  <c:v>0.86770999999999998</c:v>
                </c:pt>
                <c:pt idx="2">
                  <c:v>0.92460900000000001</c:v>
                </c:pt>
                <c:pt idx="3">
                  <c:v>0.95590299999999995</c:v>
                </c:pt>
                <c:pt idx="4">
                  <c:v>0.96159300000000003</c:v>
                </c:pt>
                <c:pt idx="5">
                  <c:v>0.944523</c:v>
                </c:pt>
                <c:pt idx="6">
                  <c:v>0.927454</c:v>
                </c:pt>
                <c:pt idx="7">
                  <c:v>0.927454</c:v>
                </c:pt>
                <c:pt idx="8">
                  <c:v>0.94167900000000004</c:v>
                </c:pt>
                <c:pt idx="9">
                  <c:v>0.97581799999999996</c:v>
                </c:pt>
                <c:pt idx="10">
                  <c:v>1.14083</c:v>
                </c:pt>
                <c:pt idx="11">
                  <c:v>1.21479</c:v>
                </c:pt>
                <c:pt idx="12">
                  <c:v>1.2034100000000001</c:v>
                </c:pt>
                <c:pt idx="13">
                  <c:v>1.2034100000000001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2E-460C-AB68-AB333A92F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60544"/>
        <c:axId val="218462464"/>
      </c:scatterChart>
      <c:valAx>
        <c:axId val="218460544"/>
        <c:scaling>
          <c:orientation val="minMax"/>
          <c:min val="1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462464"/>
        <c:crosses val="autoZero"/>
        <c:crossBetween val="midCat"/>
      </c:valAx>
      <c:valAx>
        <c:axId val="2184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Forcing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46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Airbus A320 drag polar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 (0,4M)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'Extra information'!$B$74:$B$89</c:f>
              <c:numCache>
                <c:formatCode>0.0000</c:formatCode>
                <c:ptCount val="16"/>
                <c:pt idx="0">
                  <c:v>1.5169006519909571E-2</c:v>
                </c:pt>
                <c:pt idx="1">
                  <c:v>1.5599867118994703E-2</c:v>
                </c:pt>
                <c:pt idx="2">
                  <c:v>1.6892448916250101E-2</c:v>
                </c:pt>
                <c:pt idx="3">
                  <c:v>1.9046751911675767E-2</c:v>
                </c:pt>
                <c:pt idx="4">
                  <c:v>2.2062776105271697E-2</c:v>
                </c:pt>
                <c:pt idx="5">
                  <c:v>2.5940521497037891E-2</c:v>
                </c:pt>
                <c:pt idx="6">
                  <c:v>3.067998808697435E-2</c:v>
                </c:pt>
                <c:pt idx="7">
                  <c:v>3.6281175875081076E-2</c:v>
                </c:pt>
                <c:pt idx="8">
                  <c:v>4.2744084861358077E-2</c:v>
                </c:pt>
                <c:pt idx="9">
                  <c:v>5.0068715045805331E-2</c:v>
                </c:pt>
                <c:pt idx="10">
                  <c:v>5.8255066428422854E-2</c:v>
                </c:pt>
                <c:pt idx="11">
                  <c:v>6.7303139009210644E-2</c:v>
                </c:pt>
                <c:pt idx="12">
                  <c:v>7.7212932788168681E-2</c:v>
                </c:pt>
                <c:pt idx="13">
                  <c:v>8.7984447765297027E-2</c:v>
                </c:pt>
                <c:pt idx="14">
                  <c:v>9.9617683940595586E-2</c:v>
                </c:pt>
                <c:pt idx="15">
                  <c:v>0.11211264131406445</c:v>
                </c:pt>
              </c:numCache>
            </c:numRef>
          </c:xVal>
          <c:yVal>
            <c:numRef>
              <c:f>'Extra information'!$A$74:$A$89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C7-472F-B940-048CD5AADB37}"/>
            </c:ext>
          </c:extLst>
        </c:ser>
        <c:ser>
          <c:idx val="1"/>
          <c:order val="1"/>
          <c:tx>
            <c:v>Cd (0,5M)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'Extra information'!$C$74:$C$89</c:f>
              <c:numCache>
                <c:formatCode>0.0000</c:formatCode>
                <c:ptCount val="16"/>
                <c:pt idx="0">
                  <c:v>1.4796699210118034E-2</c:v>
                </c:pt>
                <c:pt idx="1">
                  <c:v>1.5238400912902218E-2</c:v>
                </c:pt>
                <c:pt idx="2">
                  <c:v>1.6563506021254771E-2</c:v>
                </c:pt>
                <c:pt idx="3">
                  <c:v>1.8772014535175689E-2</c:v>
                </c:pt>
                <c:pt idx="4">
                  <c:v>2.1863926454664978E-2</c:v>
                </c:pt>
                <c:pt idx="5">
                  <c:v>2.5839241779722629E-2</c:v>
                </c:pt>
                <c:pt idx="6">
                  <c:v>3.0697960510348649E-2</c:v>
                </c:pt>
                <c:pt idx="7">
                  <c:v>3.644008264654304E-2</c:v>
                </c:pt>
                <c:pt idx="8">
                  <c:v>4.3065608188305807E-2</c:v>
                </c:pt>
                <c:pt idx="9">
                  <c:v>5.0574537135636921E-2</c:v>
                </c:pt>
                <c:pt idx="10">
                  <c:v>5.8966869488536411E-2</c:v>
                </c:pt>
                <c:pt idx="11">
                  <c:v>6.8242605247004276E-2</c:v>
                </c:pt>
                <c:pt idx="12">
                  <c:v>7.8401744411040489E-2</c:v>
                </c:pt>
                <c:pt idx="13">
                  <c:v>8.9444286980645105E-2</c:v>
                </c:pt>
                <c:pt idx="14">
                  <c:v>0.10137023295581804</c:v>
                </c:pt>
                <c:pt idx="15">
                  <c:v>0.11417958233655938</c:v>
                </c:pt>
              </c:numCache>
            </c:numRef>
          </c:xVal>
          <c:yVal>
            <c:numRef>
              <c:f>'Extra information'!$A$74:$A$89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C7-472F-B940-048CD5AADB37}"/>
            </c:ext>
          </c:extLst>
        </c:ser>
        <c:ser>
          <c:idx val="2"/>
          <c:order val="2"/>
          <c:tx>
            <c:v>Cd (0,6M)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'Extra information'!$D$74:$D$89</c:f>
              <c:numCache>
                <c:formatCode>0.0000</c:formatCode>
                <c:ptCount val="16"/>
                <c:pt idx="0">
                  <c:v>1.4080650421250422E-2</c:v>
                </c:pt>
                <c:pt idx="1">
                  <c:v>1.4546885117798159E-2</c:v>
                </c:pt>
                <c:pt idx="2">
                  <c:v>1.5945589207441373E-2</c:v>
                </c:pt>
                <c:pt idx="3">
                  <c:v>1.8276762690180061E-2</c:v>
                </c:pt>
                <c:pt idx="4">
                  <c:v>2.1540405566014224E-2</c:v>
                </c:pt>
                <c:pt idx="5">
                  <c:v>2.5736517834943858E-2</c:v>
                </c:pt>
                <c:pt idx="6">
                  <c:v>3.0865099496968973E-2</c:v>
                </c:pt>
                <c:pt idx="7">
                  <c:v>3.6926150552089559E-2</c:v>
                </c:pt>
                <c:pt idx="8">
                  <c:v>4.3919671000305631E-2</c:v>
                </c:pt>
                <c:pt idx="9">
                  <c:v>5.1845660841617167E-2</c:v>
                </c:pt>
                <c:pt idx="10">
                  <c:v>6.0704120076024173E-2</c:v>
                </c:pt>
                <c:pt idx="11">
                  <c:v>7.0495048703526672E-2</c:v>
                </c:pt>
                <c:pt idx="12">
                  <c:v>8.1218446724124621E-2</c:v>
                </c:pt>
                <c:pt idx="13">
                  <c:v>9.2874314137818076E-2</c:v>
                </c:pt>
                <c:pt idx="14">
                  <c:v>0.10546265094460697</c:v>
                </c:pt>
                <c:pt idx="15">
                  <c:v>0.11898345714449136</c:v>
                </c:pt>
              </c:numCache>
            </c:numRef>
          </c:xVal>
          <c:yVal>
            <c:numRef>
              <c:f>'Extra information'!$A$74:$A$89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C7-472F-B940-048CD5AADB37}"/>
            </c:ext>
          </c:extLst>
        </c:ser>
        <c:ser>
          <c:idx val="3"/>
          <c:order val="3"/>
          <c:tx>
            <c:v>Cd (0,7M)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'Extra information'!$E$74:$E$89</c:f>
              <c:numCache>
                <c:formatCode>0.0000</c:formatCode>
                <c:ptCount val="16"/>
                <c:pt idx="0">
                  <c:v>1.3811231755002139E-2</c:v>
                </c:pt>
                <c:pt idx="1">
                  <c:v>1.4310821859463902E-2</c:v>
                </c:pt>
                <c:pt idx="2">
                  <c:v>1.5809592172849194E-2</c:v>
                </c:pt>
                <c:pt idx="3">
                  <c:v>1.8307542695158011E-2</c:v>
                </c:pt>
                <c:pt idx="4">
                  <c:v>2.1804673426390357E-2</c:v>
                </c:pt>
                <c:pt idx="5">
                  <c:v>2.630098436654623E-2</c:v>
                </c:pt>
                <c:pt idx="6">
                  <c:v>3.179647551562563E-2</c:v>
                </c:pt>
                <c:pt idx="7">
                  <c:v>3.8291146873628557E-2</c:v>
                </c:pt>
                <c:pt idx="8">
                  <c:v>4.5784998440555016E-2</c:v>
                </c:pt>
                <c:pt idx="9">
                  <c:v>5.4278030216404996E-2</c:v>
                </c:pt>
                <c:pt idx="10">
                  <c:v>6.3770242201178509E-2</c:v>
                </c:pt>
                <c:pt idx="11">
                  <c:v>7.4261634394875556E-2</c:v>
                </c:pt>
                <c:pt idx="12">
                  <c:v>8.5752206797496108E-2</c:v>
                </c:pt>
                <c:pt idx="13">
                  <c:v>9.8241959409040208E-2</c:v>
                </c:pt>
                <c:pt idx="14">
                  <c:v>0.1117308922295078</c:v>
                </c:pt>
                <c:pt idx="15">
                  <c:v>0.12621900525889898</c:v>
                </c:pt>
              </c:numCache>
            </c:numRef>
          </c:xVal>
          <c:yVal>
            <c:numRef>
              <c:f>'Extra information'!$A$74:$A$89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C7-472F-B940-048CD5AADB37}"/>
            </c:ext>
          </c:extLst>
        </c:ser>
        <c:ser>
          <c:idx val="4"/>
          <c:order val="4"/>
          <c:tx>
            <c:v>Cd (0,8M)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'Extra information'!$F$74:$F$89</c:f>
              <c:numCache>
                <c:formatCode>0.0000</c:formatCode>
                <c:ptCount val="16"/>
                <c:pt idx="0">
                  <c:v>1.4965113467906511E-2</c:v>
                </c:pt>
                <c:pt idx="1">
                  <c:v>1.5503222177152236E-2</c:v>
                </c:pt>
                <c:pt idx="2">
                  <c:v>1.7117548304889416E-2</c:v>
                </c:pt>
                <c:pt idx="3">
                  <c:v>1.9808091851118044E-2</c:v>
                </c:pt>
                <c:pt idx="4">
                  <c:v>2.3574852815838127E-2</c:v>
                </c:pt>
                <c:pt idx="5">
                  <c:v>2.8417831199049656E-2</c:v>
                </c:pt>
                <c:pt idx="6">
                  <c:v>3.433702700075264E-2</c:v>
                </c:pt>
                <c:pt idx="7">
                  <c:v>4.1332440220947078E-2</c:v>
                </c:pt>
                <c:pt idx="8">
                  <c:v>4.940407085963297E-2</c:v>
                </c:pt>
                <c:pt idx="9">
                  <c:v>5.8551918916810317E-2</c:v>
                </c:pt>
                <c:pt idx="10">
                  <c:v>6.8775984392479103E-2</c:v>
                </c:pt>
                <c:pt idx="11">
                  <c:v>8.0076267286639358E-2</c:v>
                </c:pt>
                <c:pt idx="12">
                  <c:v>9.2452767599291039E-2</c:v>
                </c:pt>
                <c:pt idx="13">
                  <c:v>0.10590548533043419</c:v>
                </c:pt>
                <c:pt idx="14">
                  <c:v>0.12043442048006878</c:v>
                </c:pt>
                <c:pt idx="15">
                  <c:v>0.13603957304819483</c:v>
                </c:pt>
              </c:numCache>
            </c:numRef>
          </c:xVal>
          <c:yVal>
            <c:numRef>
              <c:f>'Extra information'!$A$74:$A$89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AC7-472F-B940-048CD5AAD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9424"/>
        <c:axId val="218546176"/>
      </c:scatterChart>
      <c:valAx>
        <c:axId val="21851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Drag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546176"/>
        <c:crosses val="autoZero"/>
        <c:crossBetween val="midCat"/>
      </c:valAx>
      <c:valAx>
        <c:axId val="2185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Lift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51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222251</xdr:colOff>
      <xdr:row>99</xdr:row>
      <xdr:rowOff>174624</xdr:rowOff>
    </xdr:from>
    <xdr:to>
      <xdr:col>18</xdr:col>
      <xdr:colOff>381000</xdr:colOff>
      <xdr:row>114</xdr:row>
      <xdr:rowOff>132291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317500</xdr:colOff>
      <xdr:row>125</xdr:row>
      <xdr:rowOff>42332</xdr:rowOff>
    </xdr:from>
    <xdr:to>
      <xdr:col>18</xdr:col>
      <xdr:colOff>613832</xdr:colOff>
      <xdr:row>137</xdr:row>
      <xdr:rowOff>164041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412751</xdr:colOff>
      <xdr:row>80</xdr:row>
      <xdr:rowOff>37043</xdr:rowOff>
    </xdr:from>
    <xdr:to>
      <xdr:col>18</xdr:col>
      <xdr:colOff>508000</xdr:colOff>
      <xdr:row>92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74084</xdr:colOff>
      <xdr:row>56</xdr:row>
      <xdr:rowOff>174625</xdr:rowOff>
    </xdr:from>
    <xdr:to>
      <xdr:col>18</xdr:col>
      <xdr:colOff>396874</xdr:colOff>
      <xdr:row>70</xdr:row>
      <xdr:rowOff>5290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17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3B8ADF13-0C2E-4421-86E1-77508C81E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aerodynamic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8</xdr:col>
          <xdr:colOff>914400</xdr:colOff>
          <xdr:row>20</xdr:row>
          <xdr:rowOff>361950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BBCBF9D4-9986-4264-A17C-7329EFF46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fuel consumption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17</xdr:row>
          <xdr:rowOff>0</xdr:rowOff>
        </xdr:from>
        <xdr:to>
          <xdr:col>13</xdr:col>
          <xdr:colOff>352425</xdr:colOff>
          <xdr:row>20</xdr:row>
          <xdr:rowOff>361950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A977CF90-BE3F-49F7-AEAB-9B493225E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seat-mile costs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0</xdr:rowOff>
        </xdr:from>
        <xdr:to>
          <xdr:col>17</xdr:col>
          <xdr:colOff>676275</xdr:colOff>
          <xdr:row>21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68CBEB57-92C9-4791-B148-F4BBD0FD4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CO2 mass equivalent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1266825</xdr:colOff>
          <xdr:row>148</xdr:row>
          <xdr:rowOff>333375</xdr:rowOff>
        </xdr:from>
        <xdr:to>
          <xdr:col>4</xdr:col>
          <xdr:colOff>952500</xdr:colOff>
          <xdr:row>152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F9B95018-43F1-4AD0-B341-B87C24AFE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Parameters fuel consumption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148</xdr:row>
          <xdr:rowOff>314325</xdr:rowOff>
        </xdr:from>
        <xdr:to>
          <xdr:col>9</xdr:col>
          <xdr:colOff>752475</xdr:colOff>
          <xdr:row>152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1326A50-3470-40B2-84B4-423230A78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Parameters DOC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149</xdr:row>
          <xdr:rowOff>0</xdr:rowOff>
        </xdr:from>
        <xdr:to>
          <xdr:col>14</xdr:col>
          <xdr:colOff>838200</xdr:colOff>
          <xdr:row>152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B135A16D-CF15-4DBE-B7A7-86C9B594E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Parameters environmental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40</xdr:row>
      <xdr:rowOff>179386</xdr:rowOff>
    </xdr:from>
    <xdr:to>
      <xdr:col>5</xdr:col>
      <xdr:colOff>0</xdr:colOff>
      <xdr:row>56</xdr:row>
      <xdr:rowOff>179387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106</xdr:row>
      <xdr:rowOff>179915</xdr:rowOff>
    </xdr:from>
    <xdr:to>
      <xdr:col>4</xdr:col>
      <xdr:colOff>0</xdr:colOff>
      <xdr:row>128</xdr:row>
      <xdr:rowOff>179916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148</xdr:row>
      <xdr:rowOff>1</xdr:rowOff>
    </xdr:from>
    <xdr:to>
      <xdr:col>5</xdr:col>
      <xdr:colOff>0</xdr:colOff>
      <xdr:row>173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971550</xdr:colOff>
          <xdr:row>134</xdr:row>
          <xdr:rowOff>171450</xdr:rowOff>
        </xdr:from>
        <xdr:to>
          <xdr:col>8</xdr:col>
          <xdr:colOff>209550</xdr:colOff>
          <xdr:row>141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B7081C06-C19A-4EEC-A548-F7A96379F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DOC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16</xdr:row>
      <xdr:rowOff>0</xdr:rowOff>
    </xdr:from>
    <xdr:to>
      <xdr:col>6</xdr:col>
      <xdr:colOff>0</xdr:colOff>
      <xdr:row>30</xdr:row>
      <xdr:rowOff>8466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86</xdr:row>
      <xdr:rowOff>0</xdr:rowOff>
    </xdr:from>
    <xdr:to>
      <xdr:col>5</xdr:col>
      <xdr:colOff>0</xdr:colOff>
      <xdr:row>105</xdr:row>
      <xdr:rowOff>-1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79</xdr:row>
          <xdr:rowOff>0</xdr:rowOff>
        </xdr:from>
        <xdr:to>
          <xdr:col>9</xdr:col>
          <xdr:colOff>0</xdr:colOff>
          <xdr:row>83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C625823-72C0-4046-B669-95E5942C4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environmental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645582</xdr:colOff>
      <xdr:row>1</xdr:row>
      <xdr:rowOff>179915</xdr:rowOff>
    </xdr:from>
    <xdr:to>
      <xdr:col>18</xdr:col>
      <xdr:colOff>645582</xdr:colOff>
      <xdr:row>20</xdr:row>
      <xdr:rowOff>179916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179916</xdr:rowOff>
    </xdr:from>
    <xdr:to>
      <xdr:col>19</xdr:col>
      <xdr:colOff>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21</xdr:row>
      <xdr:rowOff>179916</xdr:rowOff>
    </xdr:from>
    <xdr:to>
      <xdr:col>31</xdr:col>
      <xdr:colOff>0</xdr:colOff>
      <xdr:row>41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645583</xdr:colOff>
      <xdr:row>2</xdr:row>
      <xdr:rowOff>0</xdr:rowOff>
    </xdr:from>
    <xdr:to>
      <xdr:col>31</xdr:col>
      <xdr:colOff>0</xdr:colOff>
      <xdr:row>21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645583</xdr:colOff>
      <xdr:row>63</xdr:row>
      <xdr:rowOff>179916</xdr:rowOff>
    </xdr:from>
    <xdr:to>
      <xdr:col>18</xdr:col>
      <xdr:colOff>645582</xdr:colOff>
      <xdr:row>80</xdr:row>
      <xdr:rowOff>179916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131</xdr:row>
      <xdr:rowOff>1</xdr:rowOff>
    </xdr:from>
    <xdr:to>
      <xdr:col>19</xdr:col>
      <xdr:colOff>0</xdr:colOff>
      <xdr:row>150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4762</xdr:rowOff>
    </xdr:from>
    <xdr:to>
      <xdr:col>6</xdr:col>
      <xdr:colOff>972608</xdr:colOff>
      <xdr:row>68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61679"/>
          <a:ext cx="6122459" cy="5572654"/>
        </a:xfrm>
        <a:prstGeom prst="rect">
          <a:avLst/>
        </a:prstGeom>
      </xdr:spPr>
    </xdr:pic>
    <xdr:clientData/>
  </xdr:twoCellAnchor>
  <xdr:twoCellAnchor>
    <xdr:from>
      <xdr:col>8</xdr:col>
      <xdr:colOff>645582</xdr:colOff>
      <xdr:row>2</xdr:row>
      <xdr:rowOff>0</xdr:rowOff>
    </xdr:from>
    <xdr:to>
      <xdr:col>15</xdr:col>
      <xdr:colOff>783166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0</xdr:colOff>
      <xdr:row>89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2</xdr:row>
      <xdr:rowOff>180975</xdr:rowOff>
    </xdr:from>
    <xdr:to>
      <xdr:col>3</xdr:col>
      <xdr:colOff>57150</xdr:colOff>
      <xdr:row>7</xdr:row>
      <xdr:rowOff>38100</xdr:rowOff>
    </xdr:to>
    <xdr:pic>
      <xdr:nvPicPr>
        <xdr:cNvPr id="2" name="Picture 5" descr="gplv3-127x5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561975"/>
          <a:ext cx="2266950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A135:E137" totalsRowShown="0">
  <autoFilter ref="A135:E137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 "/>
    <tableColumn id="2" xr3:uid="{00000000-0010-0000-0000-000002000000}" name="Case 1"/>
    <tableColumn id="3" xr3:uid="{00000000-0010-0000-0000-000003000000}" name="Case 2"/>
    <tableColumn id="4" xr3:uid="{00000000-0010-0000-0000-000004000000}" name="Case 3"/>
    <tableColumn id="5" xr3:uid="{00000000-0010-0000-0000-000005000000}" name="Case 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H63:I66" totalsRowShown="0">
  <autoFilter ref="H63:I66" xr:uid="{00000000-0009-0000-0100-000006000000}">
    <filterColumn colId="0" hiddenButton="1"/>
    <filterColumn colId="1" hiddenButton="1"/>
  </autoFilter>
  <tableColumns count="2">
    <tableColumn id="1" xr3:uid="{00000000-0010-0000-0100-000001000000}" name="shafts"/>
    <tableColumn id="2" xr3:uid="{00000000-0010-0000-0100-000002000000}" name="valu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H56:I58" totalsRowShown="0">
  <autoFilter ref="H56:I58" xr:uid="{00000000-0009-0000-0100-000007000000}">
    <filterColumn colId="0" hiddenButton="1"/>
    <filterColumn colId="1" hiddenButton="1"/>
  </autoFilter>
  <tableColumns count="2">
    <tableColumn id="1" xr3:uid="{00000000-0010-0000-0200-000001000000}" name="reverse thrust"/>
    <tableColumn id="2" xr3:uid="{00000000-0010-0000-0200-000002000000}" name="kthr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8" displayName="Table8" ref="F3:Q5" totalsRowShown="0">
  <autoFilter ref="F3:Q5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300-000001000000}" name="Aircraft type"/>
    <tableColumn id="2" xr3:uid="{00000000-0010-0000-0300-000002000000}" name="P_MTOW"/>
    <tableColumn id="3" xr3:uid="{00000000-0010-0000-0300-000003000000}" name="n_dep"/>
    <tableColumn id="4" xr3:uid="{00000000-0010-0000-0300-000004000000}" name="pav"/>
    <tableColumn id="5" xr3:uid="{00000000-0010-0000-0300-000005000000}" name="tb-tf"/>
    <tableColumn id="6" xr3:uid="{00000000-0010-0000-0300-000006000000}" name="CC,co"/>
    <tableColumn id="7" xr3:uid="{00000000-0010-0000-0300-000007000000}" name="CC,ca"/>
    <tableColumn id="8" xr3:uid="{00000000-0010-0000-0300-000008000000}" name="k_LD"/>
    <tableColumn id="9" xr3:uid="{00000000-0010-0000-0300-000009000000}" name="k_NAV"/>
    <tableColumn id="10" xr3:uid="{00000000-0010-0000-0300-00000A000000}" name="k_GND"/>
    <tableColumn id="11" xr3:uid="{00000000-0010-0000-0300-00000B000000}" name="k_U1"/>
    <tableColumn id="12" xr3:uid="{00000000-0010-0000-0300-00000C000000}" name="k_U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1:E15" totalsRowShown="0">
  <autoFilter ref="A11:E1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400-000001000000}" name="Flight stage"/>
    <tableColumn id="2" xr3:uid="{00000000-0010-0000-0400-000002000000}" name="Wf_unadapted" dataDxfId="2"/>
    <tableColumn id="3" xr3:uid="{00000000-0010-0000-0400-000003000000}" name="r" dataDxfId="1"/>
    <tableColumn id="4" xr3:uid="{00000000-0010-0000-0400-000004000000}" name="Wf_adapted">
      <calculatedColumnFormula>B12*C12</calculatedColumnFormula>
    </tableColumn>
    <tableColumn id="5" xr3:uid="{00000000-0010-0000-0400-000005000000}" name="EI_NOx" dataDxfId="0"/>
  </tableColumns>
  <tableStyleInfo name="TableStyleMedium2" showFirstColumn="1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10" displayName="Table10" ref="A80:E82" totalsRowShown="0">
  <autoFilter ref="A80:E82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500-000001000000}" name=" "/>
    <tableColumn id="2" xr3:uid="{00000000-0010-0000-0500-000002000000}" name="Case 1"/>
    <tableColumn id="3" xr3:uid="{00000000-0010-0000-0500-000003000000}" name="Case 2"/>
    <tableColumn id="4" xr3:uid="{00000000-0010-0000-0500-000004000000}" name="Case 3"/>
    <tableColumn id="5" xr3:uid="{00000000-0010-0000-0500-000005000000}" name="Case 4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le2" displayName="Table2" ref="A17:B31" totalsRowShown="0">
  <autoFilter ref="A17:B31" xr:uid="{00000000-0009-0000-0100-000002000000}">
    <filterColumn colId="0" hiddenButton="1"/>
    <filterColumn colId="1" hiddenButton="1"/>
  </autoFilter>
  <tableColumns count="2">
    <tableColumn id="1" xr3:uid="{00000000-0010-0000-0600-000001000000}" name="Altitude (ft)"/>
    <tableColumn id="2" xr3:uid="{00000000-0010-0000-0600-000002000000}" name="Forcing factor 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able3" displayName="Table3" ref="D17:E31" totalsRowShown="0">
  <autoFilter ref="D17:E31" xr:uid="{00000000-0009-0000-0100-000003000000}">
    <filterColumn colId="0" hiddenButton="1"/>
    <filterColumn colId="1" hiddenButton="1"/>
  </autoFilter>
  <tableColumns count="2">
    <tableColumn id="1" xr3:uid="{00000000-0010-0000-0700-000001000000}" name="Altitude (ft)"/>
    <tableColumn id="2" xr3:uid="{00000000-0010-0000-0700-000002000000}" name="Forcing factor"/>
  </tableColumns>
  <tableStyleInfo name="TableStyleMedium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Table4" displayName="Table4" ref="G17:H31" totalsRowShown="0">
  <autoFilter ref="G17:H31" xr:uid="{00000000-0009-0000-0100-000004000000}">
    <filterColumn colId="0" hiddenButton="1"/>
    <filterColumn colId="1" hiddenButton="1"/>
  </autoFilter>
  <tableColumns count="2">
    <tableColumn id="1" xr3:uid="{00000000-0010-0000-0800-000001000000}" name="Altitude (ft)"/>
    <tableColumn id="2" xr3:uid="{00000000-0010-0000-0800-000002000000}" name="Forcing factor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www.gnu.org/license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N164"/>
  <sheetViews>
    <sheetView tabSelected="1" topLeftCell="A22" zoomScale="90" zoomScaleNormal="90" workbookViewId="0">
      <selection activeCell="D54" sqref="D54"/>
    </sheetView>
  </sheetViews>
  <sheetFormatPr baseColWidth="10" defaultColWidth="9.140625" defaultRowHeight="15" x14ac:dyDescent="0.25"/>
  <cols>
    <col min="1" max="1" width="11.42578125" customWidth="1"/>
    <col min="20" max="20" width="9" style="33"/>
    <col min="21" max="21" width="3.7109375" customWidth="1"/>
    <col min="22" max="22" width="9" customWidth="1"/>
    <col min="35" max="35" width="9" style="19"/>
    <col min="40" max="40" width="9" style="1"/>
    <col min="41" max="41" width="3.5703125" customWidth="1"/>
    <col min="57" max="57" width="9" style="19"/>
    <col min="60" max="60" width="9" style="1"/>
    <col min="61" max="61" width="3.5703125" customWidth="1"/>
    <col min="79" max="80" width="9" style="19"/>
  </cols>
  <sheetData>
    <row r="1" spans="1:19" x14ac:dyDescent="0.25">
      <c r="A1" s="98" t="s">
        <v>0</v>
      </c>
      <c r="B1" s="98"/>
      <c r="C1" s="98"/>
      <c r="D1" s="1"/>
      <c r="E1" s="98" t="s">
        <v>8</v>
      </c>
      <c r="F1" s="98"/>
      <c r="G1" s="98"/>
      <c r="H1" s="1"/>
      <c r="I1" s="98" t="s">
        <v>1</v>
      </c>
      <c r="J1" s="98"/>
      <c r="K1" s="98"/>
      <c r="L1" s="1"/>
      <c r="M1" s="98" t="s">
        <v>57</v>
      </c>
      <c r="N1" s="98"/>
      <c r="O1" s="98"/>
      <c r="P1" s="1"/>
      <c r="Q1" s="2" t="s">
        <v>467</v>
      </c>
    </row>
    <row r="2" spans="1:19" x14ac:dyDescent="0.25">
      <c r="A2" t="s">
        <v>5</v>
      </c>
      <c r="B2" s="50">
        <v>73500</v>
      </c>
      <c r="C2" t="s">
        <v>16</v>
      </c>
      <c r="D2" s="1"/>
      <c r="E2" t="s">
        <v>9</v>
      </c>
      <c r="F2" s="50">
        <v>2</v>
      </c>
      <c r="H2" s="1"/>
      <c r="I2" t="s">
        <v>17</v>
      </c>
      <c r="J2" s="3">
        <v>0.9</v>
      </c>
      <c r="L2" s="1"/>
      <c r="M2" t="s">
        <v>58</v>
      </c>
      <c r="N2">
        <v>9.8066499999999994</v>
      </c>
      <c r="O2" t="s">
        <v>67</v>
      </c>
      <c r="P2" s="1"/>
    </row>
    <row r="3" spans="1:19" x14ac:dyDescent="0.25">
      <c r="A3" t="s">
        <v>3</v>
      </c>
      <c r="B3" s="50">
        <v>122.4</v>
      </c>
      <c r="C3" t="s">
        <v>436</v>
      </c>
      <c r="D3" s="1"/>
      <c r="E3" t="s">
        <v>10</v>
      </c>
      <c r="F3" s="50">
        <v>5.7</v>
      </c>
      <c r="H3" s="1"/>
      <c r="I3" t="s">
        <v>18</v>
      </c>
      <c r="J3" s="3">
        <v>12500</v>
      </c>
      <c r="K3" t="s">
        <v>24</v>
      </c>
      <c r="L3" s="1"/>
      <c r="M3" t="s">
        <v>30</v>
      </c>
      <c r="N3">
        <v>287.053</v>
      </c>
      <c r="P3" s="1"/>
    </row>
    <row r="4" spans="1:19" x14ac:dyDescent="0.25">
      <c r="A4" t="s">
        <v>4</v>
      </c>
      <c r="B4" s="68">
        <v>9.5</v>
      </c>
      <c r="D4" s="1"/>
      <c r="E4" t="s">
        <v>11</v>
      </c>
      <c r="F4" s="50">
        <v>120000</v>
      </c>
      <c r="G4" t="s">
        <v>29</v>
      </c>
      <c r="H4" s="1"/>
      <c r="I4" t="s">
        <v>19</v>
      </c>
      <c r="J4" s="42">
        <f>CONVERT(H,"m","ft")</f>
        <v>41010.49868766404</v>
      </c>
      <c r="K4" t="s">
        <v>25</v>
      </c>
      <c r="L4" s="1"/>
      <c r="M4" t="s">
        <v>42</v>
      </c>
      <c r="N4">
        <v>6.4999999999999997E-3</v>
      </c>
      <c r="O4" t="s">
        <v>43</v>
      </c>
      <c r="P4" s="1"/>
    </row>
    <row r="5" spans="1:19" x14ac:dyDescent="0.25">
      <c r="A5" t="s">
        <v>2</v>
      </c>
      <c r="B5" s="69">
        <f>SQRT(A*SS)</f>
        <v>34.099853372118773</v>
      </c>
      <c r="C5" t="s">
        <v>24</v>
      </c>
      <c r="D5" s="1"/>
      <c r="E5" t="s">
        <v>12</v>
      </c>
      <c r="F5" s="50">
        <v>32.6</v>
      </c>
      <c r="H5" s="1"/>
      <c r="I5" t="s">
        <v>20</v>
      </c>
      <c r="J5" s="71">
        <f>SQRT(1.4*R_const*T)</f>
        <v>295.06956032434113</v>
      </c>
      <c r="K5" t="s">
        <v>26</v>
      </c>
      <c r="L5" s="1"/>
      <c r="M5" t="s">
        <v>59</v>
      </c>
      <c r="N5">
        <v>288.14999999999998</v>
      </c>
      <c r="O5" t="s">
        <v>27</v>
      </c>
      <c r="P5" s="1"/>
    </row>
    <row r="6" spans="1:19" x14ac:dyDescent="0.25">
      <c r="A6" t="s">
        <v>239</v>
      </c>
      <c r="B6" s="50">
        <v>60500</v>
      </c>
      <c r="C6" s="38" t="s">
        <v>16</v>
      </c>
      <c r="D6" s="1"/>
      <c r="E6" t="s">
        <v>13</v>
      </c>
      <c r="F6" s="50">
        <v>18</v>
      </c>
      <c r="H6" s="1"/>
      <c r="I6" t="s">
        <v>21</v>
      </c>
      <c r="J6" s="42">
        <f>IF(H&gt;11000,T_t,T0-L*H)</f>
        <v>216.65</v>
      </c>
      <c r="K6" t="s">
        <v>27</v>
      </c>
      <c r="L6" s="1"/>
      <c r="M6" t="s">
        <v>60</v>
      </c>
      <c r="N6">
        <v>101325</v>
      </c>
      <c r="O6" t="s">
        <v>28</v>
      </c>
      <c r="P6" s="1"/>
    </row>
    <row r="7" spans="1:19" x14ac:dyDescent="0.25">
      <c r="A7" t="s">
        <v>6</v>
      </c>
      <c r="B7" s="50">
        <v>25</v>
      </c>
      <c r="C7" t="s">
        <v>264</v>
      </c>
      <c r="D7" s="1"/>
      <c r="E7" t="s">
        <v>14</v>
      </c>
      <c r="F7" s="50">
        <v>2</v>
      </c>
      <c r="H7" s="1"/>
      <c r="I7" t="s">
        <v>22</v>
      </c>
      <c r="J7" s="42">
        <f>IF(H&lt;11000,p0*(T/T0)^(g/(R_const*L)),p_t*EXP((-g/(R_const*T_t))*(H-11000)))</f>
        <v>17884.531472127925</v>
      </c>
      <c r="K7" t="s">
        <v>28</v>
      </c>
      <c r="L7" s="1"/>
      <c r="M7" t="s">
        <v>61</v>
      </c>
      <c r="N7">
        <v>1.1225000000000001</v>
      </c>
      <c r="O7" t="s">
        <v>62</v>
      </c>
      <c r="P7" s="1"/>
    </row>
    <row r="8" spans="1:19" x14ac:dyDescent="0.25">
      <c r="A8" t="s">
        <v>266</v>
      </c>
      <c r="B8" s="43">
        <f>phi*PI()/180</f>
        <v>0.43633231299858238</v>
      </c>
      <c r="C8" t="s">
        <v>265</v>
      </c>
      <c r="D8" s="1"/>
      <c r="E8" t="s">
        <v>225</v>
      </c>
      <c r="F8" s="50">
        <v>2380</v>
      </c>
      <c r="G8" t="s">
        <v>16</v>
      </c>
      <c r="H8" s="1"/>
      <c r="I8" t="s">
        <v>23</v>
      </c>
      <c r="J8" s="42">
        <f>IF(H&lt;11000,rho0*(1-(L*H)/T0)^(g/(R_const*L)-1),rho_t*EXP((-g/(R_const*T_t))*(H-11000)))</f>
        <v>0.28726392255536015</v>
      </c>
      <c r="K8" t="s">
        <v>62</v>
      </c>
      <c r="L8" s="1"/>
      <c r="M8" t="s">
        <v>63</v>
      </c>
      <c r="N8">
        <v>216.65</v>
      </c>
      <c r="O8" t="s">
        <v>27</v>
      </c>
      <c r="P8" s="1"/>
    </row>
    <row r="9" spans="1:19" x14ac:dyDescent="0.25">
      <c r="A9" t="s">
        <v>7</v>
      </c>
      <c r="B9" s="50">
        <v>42600</v>
      </c>
      <c r="C9" t="s">
        <v>16</v>
      </c>
      <c r="D9" s="1"/>
      <c r="E9" t="s">
        <v>228</v>
      </c>
      <c r="F9" s="70" t="s">
        <v>229</v>
      </c>
      <c r="H9" s="1"/>
      <c r="I9" t="s">
        <v>449</v>
      </c>
      <c r="J9" s="4">
        <f>M*a_sound</f>
        <v>265.56260429190701</v>
      </c>
      <c r="K9" t="s">
        <v>26</v>
      </c>
      <c r="L9" s="1"/>
      <c r="M9" t="s">
        <v>64</v>
      </c>
      <c r="N9">
        <v>22657</v>
      </c>
      <c r="O9" t="s">
        <v>28</v>
      </c>
      <c r="P9" s="1"/>
    </row>
    <row r="10" spans="1:19" x14ac:dyDescent="0.25">
      <c r="A10" t="s">
        <v>179</v>
      </c>
      <c r="B10" s="61">
        <f>MZFW-OEW</f>
        <v>17900</v>
      </c>
      <c r="C10" t="s">
        <v>16</v>
      </c>
      <c r="D10" s="1"/>
      <c r="H10" s="1"/>
      <c r="J10" s="4">
        <f>CONVERT(J9,"m","Nmi")*3600</f>
        <v>516.21240575100717</v>
      </c>
      <c r="K10" t="s">
        <v>413</v>
      </c>
      <c r="L10" s="1"/>
      <c r="M10" t="s">
        <v>65</v>
      </c>
      <c r="N10">
        <v>0.36392000000000002</v>
      </c>
      <c r="O10" t="s">
        <v>62</v>
      </c>
      <c r="P10" s="1"/>
    </row>
    <row r="11" spans="1:19" x14ac:dyDescent="0.25">
      <c r="A11" t="s">
        <v>15</v>
      </c>
      <c r="B11" s="50">
        <v>150</v>
      </c>
      <c r="D11" s="1"/>
      <c r="H11" s="1"/>
      <c r="L11" s="1"/>
      <c r="M11" t="s">
        <v>66</v>
      </c>
      <c r="N11">
        <v>340.29399999999998</v>
      </c>
      <c r="O11" t="s">
        <v>26</v>
      </c>
      <c r="P11" s="1"/>
    </row>
    <row r="12" spans="1:19" x14ac:dyDescent="0.25">
      <c r="A12" t="s">
        <v>68</v>
      </c>
      <c r="B12" s="50">
        <f>CONVERT(39100,"ft","m")</f>
        <v>11917.68</v>
      </c>
      <c r="C12" t="s">
        <v>24</v>
      </c>
      <c r="D12" s="1"/>
      <c r="H12" s="1"/>
      <c r="I12" t="s">
        <v>417</v>
      </c>
      <c r="J12" s="50">
        <v>1500</v>
      </c>
      <c r="K12" t="s">
        <v>31</v>
      </c>
      <c r="L12" s="1"/>
      <c r="P12" s="1"/>
    </row>
    <row r="13" spans="1:19" x14ac:dyDescent="0.25">
      <c r="A13" t="s">
        <v>84</v>
      </c>
      <c r="B13" s="50">
        <v>0.78</v>
      </c>
      <c r="D13" s="1"/>
      <c r="E13" s="2"/>
      <c r="H13" s="1"/>
      <c r="L13" s="1"/>
      <c r="P13" s="1"/>
    </row>
    <row r="14" spans="1:19" x14ac:dyDescent="0.25">
      <c r="A14" t="s">
        <v>419</v>
      </c>
      <c r="B14" s="50">
        <v>0.82</v>
      </c>
      <c r="D14" s="1"/>
      <c r="H14" s="1"/>
      <c r="L14" s="1"/>
      <c r="P14" s="1"/>
    </row>
    <row r="15" spans="1:19" x14ac:dyDescent="0.25">
      <c r="A15" t="s">
        <v>416</v>
      </c>
      <c r="B15" s="43">
        <f>MTOW/SS</f>
        <v>600.49019607843138</v>
      </c>
      <c r="C15" s="19" t="s">
        <v>437</v>
      </c>
      <c r="D15" s="1"/>
      <c r="H15" s="1"/>
      <c r="L15" s="1"/>
      <c r="P15" s="1"/>
    </row>
    <row r="16" spans="1:19" x14ac:dyDescent="0.25">
      <c r="D16" s="1"/>
      <c r="E16" s="19"/>
      <c r="F16" s="19"/>
      <c r="G16" s="19"/>
      <c r="H16" s="1"/>
      <c r="I16" s="19"/>
      <c r="J16" s="19"/>
      <c r="K16" s="19"/>
      <c r="L16" s="1"/>
      <c r="M16" s="19"/>
      <c r="N16" s="19"/>
      <c r="O16" s="19"/>
      <c r="P16" s="1"/>
      <c r="Q16" s="19"/>
      <c r="R16" s="19"/>
      <c r="S16" s="19"/>
    </row>
    <row r="17" spans="1:9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22" spans="1:92" s="1" customFormat="1" x14ac:dyDescent="0.25">
      <c r="T22" s="33"/>
      <c r="CB22" s="19"/>
    </row>
    <row r="23" spans="1:92" s="1" customFormat="1" x14ac:dyDescent="0.25">
      <c r="T23" s="33"/>
      <c r="CB23" s="19"/>
    </row>
    <row r="24" spans="1:92" x14ac:dyDescent="0.25">
      <c r="A24" s="25" t="s">
        <v>219</v>
      </c>
      <c r="U24" s="25" t="s">
        <v>214</v>
      </c>
      <c r="AO24" s="25" t="s">
        <v>70</v>
      </c>
      <c r="BI24" s="25" t="s">
        <v>217</v>
      </c>
      <c r="CD24" s="25"/>
    </row>
    <row r="25" spans="1:92" x14ac:dyDescent="0.25">
      <c r="C25" s="97" t="s">
        <v>174</v>
      </c>
      <c r="D25" s="97"/>
      <c r="E25" s="97"/>
      <c r="F25" s="97"/>
      <c r="G25" s="97"/>
      <c r="H25" s="97"/>
      <c r="I25" s="97"/>
      <c r="J25" s="97"/>
      <c r="K25" s="97"/>
      <c r="L25" s="32"/>
      <c r="W25" s="97" t="s">
        <v>174</v>
      </c>
      <c r="X25" s="97"/>
      <c r="Y25" s="97"/>
      <c r="Z25" s="97"/>
      <c r="AA25" s="97"/>
      <c r="AB25" s="97"/>
      <c r="AC25" s="97"/>
      <c r="AD25" s="97"/>
      <c r="AE25" s="97"/>
      <c r="AF25" s="85"/>
      <c r="AQ25" s="97" t="s">
        <v>174</v>
      </c>
      <c r="AR25" s="97"/>
      <c r="AS25" s="97"/>
      <c r="AT25" s="97"/>
      <c r="AU25" s="97"/>
      <c r="AV25" s="97"/>
      <c r="AW25" s="97"/>
      <c r="AX25" s="97"/>
      <c r="AY25" s="97"/>
      <c r="AZ25" s="85"/>
      <c r="BK25" s="97" t="s">
        <v>174</v>
      </c>
      <c r="BL25" s="97"/>
      <c r="BM25" s="97"/>
      <c r="BN25" s="97"/>
      <c r="BO25" s="97"/>
      <c r="BP25" s="97"/>
      <c r="BQ25" s="97"/>
      <c r="BR25" s="97"/>
      <c r="BS25" s="97"/>
      <c r="BT25" s="85"/>
      <c r="CE25" s="32"/>
      <c r="CF25" s="32"/>
      <c r="CG25" s="32"/>
      <c r="CH25" s="32"/>
      <c r="CI25" s="32"/>
      <c r="CJ25" s="32"/>
      <c r="CK25" s="32"/>
      <c r="CL25" s="32"/>
      <c r="CM25" s="32"/>
      <c r="CN25" s="32"/>
    </row>
    <row r="26" spans="1:92" x14ac:dyDescent="0.25">
      <c r="C26" s="3">
        <v>0.4</v>
      </c>
      <c r="D26" s="3">
        <v>0.45</v>
      </c>
      <c r="E26" s="3">
        <v>0.5</v>
      </c>
      <c r="F26" s="3">
        <v>0.55000000000000004</v>
      </c>
      <c r="G26" s="3">
        <v>0.6</v>
      </c>
      <c r="H26" s="3">
        <v>0.65</v>
      </c>
      <c r="I26" s="3">
        <v>0.7</v>
      </c>
      <c r="J26" s="3">
        <v>0.75</v>
      </c>
      <c r="K26" s="3">
        <v>0.8</v>
      </c>
      <c r="L26" s="3">
        <v>0.85</v>
      </c>
      <c r="M26" s="3">
        <v>0.9</v>
      </c>
      <c r="W26" s="3">
        <v>0.4</v>
      </c>
      <c r="X26" s="3">
        <v>0.45</v>
      </c>
      <c r="Y26" s="3">
        <v>0.5</v>
      </c>
      <c r="Z26" s="3">
        <v>0.55000000000000004</v>
      </c>
      <c r="AA26" s="3">
        <v>0.6</v>
      </c>
      <c r="AB26" s="3">
        <v>0.65</v>
      </c>
      <c r="AC26" s="3">
        <v>0.7</v>
      </c>
      <c r="AD26" s="3">
        <v>0.75</v>
      </c>
      <c r="AE26" s="3">
        <v>0.8</v>
      </c>
      <c r="AF26" s="3">
        <v>0.85</v>
      </c>
      <c r="AG26" s="3">
        <v>0.9</v>
      </c>
      <c r="AQ26" s="3">
        <v>0.4</v>
      </c>
      <c r="AR26" s="3">
        <v>0.45</v>
      </c>
      <c r="AS26" s="3">
        <v>0.5</v>
      </c>
      <c r="AT26" s="3">
        <v>0.55000000000000004</v>
      </c>
      <c r="AU26" s="3">
        <v>0.6</v>
      </c>
      <c r="AV26" s="3">
        <v>0.65</v>
      </c>
      <c r="AW26" s="3">
        <v>0.7</v>
      </c>
      <c r="AX26" s="3">
        <v>0.75</v>
      </c>
      <c r="AY26" s="3">
        <v>0.8</v>
      </c>
      <c r="AZ26" s="3">
        <v>0.85</v>
      </c>
      <c r="BA26" s="3">
        <v>0.9</v>
      </c>
      <c r="BK26" s="3">
        <v>0.4</v>
      </c>
      <c r="BL26" s="3">
        <v>0.45</v>
      </c>
      <c r="BM26" s="3">
        <v>0.5</v>
      </c>
      <c r="BN26" s="3">
        <v>0.55000000000000004</v>
      </c>
      <c r="BO26" s="3">
        <v>0.6</v>
      </c>
      <c r="BP26" s="3">
        <v>0.65</v>
      </c>
      <c r="BQ26" s="3">
        <v>0.7</v>
      </c>
      <c r="BR26" s="3">
        <v>0.75</v>
      </c>
      <c r="BS26" s="3">
        <v>0.8</v>
      </c>
      <c r="BT26" s="3">
        <v>0.85</v>
      </c>
      <c r="BU26" s="3">
        <v>0.9</v>
      </c>
      <c r="CE26" s="3"/>
      <c r="CF26" s="3"/>
      <c r="CG26" s="3"/>
      <c r="CH26" s="3"/>
      <c r="CI26" s="3"/>
      <c r="CJ26" s="3"/>
      <c r="CK26" s="3"/>
      <c r="CL26" s="3"/>
      <c r="CM26" s="3"/>
      <c r="CN26" s="3"/>
    </row>
    <row r="27" spans="1:92" x14ac:dyDescent="0.25">
      <c r="A27" s="96" t="s">
        <v>175</v>
      </c>
      <c r="B27" s="3">
        <v>3000</v>
      </c>
      <c r="C27" s="63">
        <v>0.81844068668144776</v>
      </c>
      <c r="D27" s="63">
        <v>0.64666918453842781</v>
      </c>
      <c r="E27" s="63">
        <v>0.52380203947612647</v>
      </c>
      <c r="F27" s="63">
        <v>0.43289424750093097</v>
      </c>
      <c r="G27" s="63">
        <v>0.36375141630286556</v>
      </c>
      <c r="H27" s="63">
        <v>0.30994203519297414</v>
      </c>
      <c r="I27" s="63">
        <v>0.26724593850822781</v>
      </c>
      <c r="J27" s="63">
        <v>0.23280090643383397</v>
      </c>
      <c r="K27" s="63">
        <v>0.20461017167036194</v>
      </c>
      <c r="L27" s="63"/>
      <c r="M27" s="37"/>
      <c r="U27" s="96" t="s">
        <v>175</v>
      </c>
      <c r="V27" s="3">
        <v>3000</v>
      </c>
      <c r="W27" s="63">
        <v>4.4029995110362818E-2</v>
      </c>
      <c r="X27" s="63">
        <v>3.3211004469576283E-2</v>
      </c>
      <c r="Y27" s="63">
        <v>2.6915605955791774E-2</v>
      </c>
      <c r="Z27" s="63">
        <v>2.2922620485548384E-2</v>
      </c>
      <c r="AA27" s="63">
        <v>2.024963913818633E-2</v>
      </c>
      <c r="AB27" s="63">
        <v>1.8545791174659508E-2</v>
      </c>
      <c r="AC27" s="63">
        <v>1.7379323847471706E-2</v>
      </c>
      <c r="AD27" s="63">
        <v>1.6745852741010592E-2</v>
      </c>
      <c r="AE27" s="63">
        <v>1.7217922925150449E-2</v>
      </c>
      <c r="AF27" s="63"/>
      <c r="AG27" s="37"/>
      <c r="AO27" s="96" t="s">
        <v>175</v>
      </c>
      <c r="AP27" s="3">
        <v>3000</v>
      </c>
      <c r="AQ27" s="63">
        <v>0.77765996426606732</v>
      </c>
      <c r="AR27" s="63">
        <v>0.77137129547935124</v>
      </c>
      <c r="AS27" s="63">
        <v>0.7585731184104425</v>
      </c>
      <c r="AT27" s="63">
        <v>0.74038272067582267</v>
      </c>
      <c r="AU27" s="63">
        <v>0.71865744992638869</v>
      </c>
      <c r="AV27" s="63">
        <v>0.69502700671337592</v>
      </c>
      <c r="AW27" s="63">
        <v>0.67067589028646368</v>
      </c>
      <c r="AX27" s="63">
        <v>0.64639172659751021</v>
      </c>
      <c r="AY27" s="63">
        <v>0.62266793369292051</v>
      </c>
      <c r="AZ27" s="63"/>
      <c r="BA27" s="37"/>
      <c r="BI27" s="96" t="s">
        <v>175</v>
      </c>
      <c r="BJ27" s="3">
        <v>3000</v>
      </c>
      <c r="BK27" s="66">
        <v>0</v>
      </c>
      <c r="BL27" s="66">
        <v>0</v>
      </c>
      <c r="BM27" s="66">
        <v>0</v>
      </c>
      <c r="BN27" s="66">
        <v>0</v>
      </c>
      <c r="BO27" s="66">
        <v>6.2544765260634459E-5</v>
      </c>
      <c r="BP27" s="66">
        <v>3.5750254287649169E-4</v>
      </c>
      <c r="BQ27" s="66">
        <v>7.2905262790388188E-4</v>
      </c>
      <c r="BR27" s="66">
        <v>1.3280470147660095E-3</v>
      </c>
      <c r="BS27" s="66">
        <v>2.8193757677014058E-3</v>
      </c>
      <c r="BT27" s="66"/>
      <c r="BU27" s="67"/>
      <c r="CE27" s="3"/>
      <c r="CF27" s="3"/>
      <c r="CG27" s="3"/>
      <c r="CH27" s="3"/>
      <c r="CI27" s="3"/>
      <c r="CJ27" s="3"/>
      <c r="CK27" s="3"/>
      <c r="CL27" s="3"/>
      <c r="CM27" s="3"/>
      <c r="CN27" s="3"/>
    </row>
    <row r="28" spans="1:92" x14ac:dyDescent="0.25">
      <c r="A28" s="96"/>
      <c r="B28" s="3">
        <v>3500</v>
      </c>
      <c r="C28" s="63">
        <v>0.872507948862423</v>
      </c>
      <c r="D28" s="63">
        <v>0.68938899663203779</v>
      </c>
      <c r="E28" s="63">
        <v>0.55840508727195082</v>
      </c>
      <c r="F28" s="63">
        <v>0.46149180766276915</v>
      </c>
      <c r="G28" s="63">
        <v>0.38778131060552135</v>
      </c>
      <c r="H28" s="63">
        <v>0.33041721140352115</v>
      </c>
      <c r="I28" s="63">
        <v>0.28490055473058712</v>
      </c>
      <c r="J28" s="63">
        <v>0.24818003878753367</v>
      </c>
      <c r="K28" s="63">
        <v>0.21812698721560575</v>
      </c>
      <c r="L28" s="63"/>
      <c r="M28" s="37"/>
      <c r="U28" s="96"/>
      <c r="V28" s="3">
        <v>3500</v>
      </c>
      <c r="W28" s="63">
        <v>4.7969136552470773E-2</v>
      </c>
      <c r="X28" s="63">
        <v>3.5690239803203044E-2</v>
      </c>
      <c r="Y28" s="63">
        <v>2.8569675692360547E-2</v>
      </c>
      <c r="Z28" s="63">
        <v>2.4080129146142076E-2</v>
      </c>
      <c r="AA28" s="63">
        <v>2.1091624125451007E-2</v>
      </c>
      <c r="AB28" s="63">
        <v>1.9177877179595557E-2</v>
      </c>
      <c r="AC28" s="63">
        <v>1.7866321005821084E-2</v>
      </c>
      <c r="AD28" s="63">
        <v>1.712928658098084E-2</v>
      </c>
      <c r="AE28" s="63">
        <v>1.7525401481069972E-2</v>
      </c>
      <c r="AF28" s="63"/>
      <c r="AG28" s="37"/>
      <c r="AO28" s="96"/>
      <c r="AP28" s="3">
        <v>3500</v>
      </c>
      <c r="AQ28" s="63">
        <v>0.77765996426606732</v>
      </c>
      <c r="AR28" s="63">
        <v>0.77137129547935124</v>
      </c>
      <c r="AS28" s="63">
        <v>0.7585731184104425</v>
      </c>
      <c r="AT28" s="63">
        <v>0.74038272067582267</v>
      </c>
      <c r="AU28" s="63">
        <v>0.71865744992638869</v>
      </c>
      <c r="AV28" s="63">
        <v>0.69502700671337592</v>
      </c>
      <c r="AW28" s="63">
        <v>0.67067589028646368</v>
      </c>
      <c r="AX28" s="63">
        <v>0.64639172659751021</v>
      </c>
      <c r="AY28" s="63">
        <v>0.62266793369292051</v>
      </c>
      <c r="AZ28" s="63"/>
      <c r="BA28" s="37"/>
      <c r="BI28" s="96"/>
      <c r="BJ28" s="3">
        <v>3500</v>
      </c>
      <c r="BK28" s="66">
        <v>0</v>
      </c>
      <c r="BL28" s="66">
        <v>0</v>
      </c>
      <c r="BM28" s="66">
        <v>0</v>
      </c>
      <c r="BN28" s="66">
        <v>0</v>
      </c>
      <c r="BO28" s="66">
        <v>6.2544765260634459E-5</v>
      </c>
      <c r="BP28" s="66">
        <v>3.5750254287649169E-4</v>
      </c>
      <c r="BQ28" s="66">
        <v>7.2905262790388188E-4</v>
      </c>
      <c r="BR28" s="66">
        <v>1.3280470147660095E-3</v>
      </c>
      <c r="BS28" s="66">
        <v>2.8193757677014058E-3</v>
      </c>
      <c r="BT28" s="66"/>
      <c r="BU28" s="67"/>
      <c r="CE28" s="3"/>
      <c r="CF28" s="3"/>
      <c r="CG28" s="3"/>
      <c r="CH28" s="3"/>
      <c r="CI28" s="3"/>
      <c r="CJ28" s="3"/>
      <c r="CK28" s="3"/>
      <c r="CL28" s="3"/>
      <c r="CM28" s="3"/>
      <c r="CN28" s="3"/>
    </row>
    <row r="29" spans="1:92" x14ac:dyDescent="0.25">
      <c r="A29" s="96"/>
      <c r="B29" s="3">
        <v>4000</v>
      </c>
      <c r="C29" s="63">
        <v>0.93088040649695591</v>
      </c>
      <c r="D29" s="63">
        <v>0.73551044463956983</v>
      </c>
      <c r="E29" s="63">
        <v>0.59576346015805171</v>
      </c>
      <c r="F29" s="63">
        <v>0.49236649599838977</v>
      </c>
      <c r="G29" s="63">
        <v>0.4137246251097581</v>
      </c>
      <c r="H29" s="63">
        <v>0.35252275748997153</v>
      </c>
      <c r="I29" s="63">
        <v>0.30396094906023052</v>
      </c>
      <c r="J29" s="63">
        <v>0.26478376007024523</v>
      </c>
      <c r="K29" s="63">
        <v>0.23272010162423898</v>
      </c>
      <c r="L29" s="63"/>
      <c r="M29" s="37"/>
      <c r="U29" s="96"/>
      <c r="V29" s="3">
        <v>4000</v>
      </c>
      <c r="W29" s="63">
        <v>5.2504728971013215E-2</v>
      </c>
      <c r="X29" s="63">
        <v>3.8544872252491952E-2</v>
      </c>
      <c r="Y29" s="63">
        <v>3.0474198865031159E-2</v>
      </c>
      <c r="Z29" s="63">
        <v>2.5412903706929744E-2</v>
      </c>
      <c r="AA29" s="63">
        <v>2.2061099525329152E-2</v>
      </c>
      <c r="AB29" s="63">
        <v>1.9905671429684878E-2</v>
      </c>
      <c r="AC29" s="63">
        <v>1.842705756522707E-2</v>
      </c>
      <c r="AD29" s="63">
        <v>1.7570778627697251E-2</v>
      </c>
      <c r="AE29" s="63">
        <v>1.7879437361118661E-2</v>
      </c>
      <c r="AF29" s="63"/>
      <c r="AG29" s="37"/>
      <c r="AO29" s="96"/>
      <c r="AP29" s="3">
        <v>4000</v>
      </c>
      <c r="AQ29" s="63">
        <v>0.77765996426606732</v>
      </c>
      <c r="AR29" s="63">
        <v>0.77137129547935124</v>
      </c>
      <c r="AS29" s="63">
        <v>0.7585731184104425</v>
      </c>
      <c r="AT29" s="63">
        <v>0.74038272067582267</v>
      </c>
      <c r="AU29" s="63">
        <v>0.71865744992638869</v>
      </c>
      <c r="AV29" s="63">
        <v>0.69502700671337592</v>
      </c>
      <c r="AW29" s="63">
        <v>0.67067589028646368</v>
      </c>
      <c r="AX29" s="63">
        <v>0.64639172659751021</v>
      </c>
      <c r="AY29" s="63">
        <v>0.62266793369292051</v>
      </c>
      <c r="AZ29" s="63"/>
      <c r="BA29" s="37"/>
      <c r="BI29" s="96"/>
      <c r="BJ29" s="3">
        <v>4000</v>
      </c>
      <c r="BK29" s="66">
        <v>0</v>
      </c>
      <c r="BL29" s="66">
        <v>0</v>
      </c>
      <c r="BM29" s="66">
        <v>0</v>
      </c>
      <c r="BN29" s="66">
        <v>0</v>
      </c>
      <c r="BO29" s="66">
        <v>6.2544765260634459E-5</v>
      </c>
      <c r="BP29" s="66">
        <v>3.5750254287649169E-4</v>
      </c>
      <c r="BQ29" s="66">
        <v>7.2905262790388188E-4</v>
      </c>
      <c r="BR29" s="66">
        <v>1.3280470147660095E-3</v>
      </c>
      <c r="BS29" s="66">
        <v>2.8193757677014058E-3</v>
      </c>
      <c r="BT29" s="66"/>
      <c r="BU29" s="67"/>
      <c r="CE29" s="3"/>
      <c r="CF29" s="3"/>
      <c r="CG29" s="3"/>
      <c r="CH29" s="3"/>
      <c r="CI29" s="3"/>
      <c r="CJ29" s="3"/>
      <c r="CK29" s="3"/>
      <c r="CL29" s="3"/>
      <c r="CM29" s="3"/>
      <c r="CN29" s="3"/>
    </row>
    <row r="30" spans="1:92" x14ac:dyDescent="0.25">
      <c r="A30" s="96"/>
      <c r="B30" s="3">
        <v>4500</v>
      </c>
      <c r="C30" s="63">
        <v>0.99396076809887457</v>
      </c>
      <c r="D30" s="63">
        <v>0.7853517180040489</v>
      </c>
      <c r="E30" s="63">
        <v>0.63613489158327963</v>
      </c>
      <c r="F30" s="63">
        <v>0.52573131535808226</v>
      </c>
      <c r="G30" s="63">
        <v>0.44176034137727754</v>
      </c>
      <c r="H30" s="63">
        <v>0.37641117845164473</v>
      </c>
      <c r="I30" s="63">
        <v>0.32455861815473458</v>
      </c>
      <c r="J30" s="63">
        <v>0.28272661848145764</v>
      </c>
      <c r="K30" s="63">
        <v>0.24849019202471864</v>
      </c>
      <c r="L30" s="63"/>
      <c r="M30" s="37"/>
      <c r="U30" s="96"/>
      <c r="V30" s="3">
        <v>4500</v>
      </c>
      <c r="W30" s="63">
        <v>5.773622446208504E-2</v>
      </c>
      <c r="X30" s="63">
        <v>4.1837495444573554E-2</v>
      </c>
      <c r="Y30" s="63">
        <v>3.2670936021071746E-2</v>
      </c>
      <c r="Z30" s="63">
        <v>2.6950167963054546E-2</v>
      </c>
      <c r="AA30" s="63">
        <v>2.3179323059355932E-2</v>
      </c>
      <c r="AB30" s="63">
        <v>2.074513229530512E-2</v>
      </c>
      <c r="AC30" s="63">
        <v>1.9073828816148743E-2</v>
      </c>
      <c r="AD30" s="63">
        <v>1.8080009492952822E-2</v>
      </c>
      <c r="AE30" s="63">
        <v>1.8287793522615989E-2</v>
      </c>
      <c r="AF30" s="63"/>
      <c r="AG30" s="37"/>
      <c r="AO30" s="96"/>
      <c r="AP30" s="3">
        <v>4500</v>
      </c>
      <c r="AQ30" s="63">
        <v>0.77765996426606732</v>
      </c>
      <c r="AR30" s="63">
        <v>0.77137129547935124</v>
      </c>
      <c r="AS30" s="63">
        <v>0.7585731184104425</v>
      </c>
      <c r="AT30" s="63">
        <v>0.74038272067582267</v>
      </c>
      <c r="AU30" s="63">
        <v>0.71865744992638869</v>
      </c>
      <c r="AV30" s="63">
        <v>0.69502700671337592</v>
      </c>
      <c r="AW30" s="63">
        <v>0.67067589028646368</v>
      </c>
      <c r="AX30" s="63">
        <v>0.64639172659751021</v>
      </c>
      <c r="AY30" s="63">
        <v>0.62266793369292051</v>
      </c>
      <c r="AZ30" s="63"/>
      <c r="BA30" s="37"/>
      <c r="BI30" s="96"/>
      <c r="BJ30" s="3">
        <v>4500</v>
      </c>
      <c r="BK30" s="66">
        <v>0</v>
      </c>
      <c r="BL30" s="66">
        <v>0</v>
      </c>
      <c r="BM30" s="66">
        <v>0</v>
      </c>
      <c r="BN30" s="66">
        <v>0</v>
      </c>
      <c r="BO30" s="66">
        <v>6.2544765260634459E-5</v>
      </c>
      <c r="BP30" s="66">
        <v>3.5750254287649169E-4</v>
      </c>
      <c r="BQ30" s="66">
        <v>7.2905262790388188E-4</v>
      </c>
      <c r="BR30" s="66">
        <v>1.3280470147660095E-3</v>
      </c>
      <c r="BS30" s="66">
        <v>2.8193757677014058E-3</v>
      </c>
      <c r="BT30" s="66"/>
      <c r="BU30" s="67"/>
      <c r="CE30" s="3"/>
      <c r="CF30" s="3"/>
      <c r="CG30" s="3"/>
      <c r="CH30" s="3"/>
      <c r="CI30" s="3"/>
      <c r="CJ30" s="3"/>
      <c r="CK30" s="3"/>
      <c r="CL30" s="3"/>
      <c r="CM30" s="3"/>
      <c r="CN30" s="3"/>
    </row>
    <row r="31" spans="1:92" ht="14.25" customHeight="1" x14ac:dyDescent="0.25">
      <c r="A31" s="96"/>
      <c r="B31" s="3">
        <v>5000</v>
      </c>
      <c r="C31" s="37">
        <v>1.0621951602985358</v>
      </c>
      <c r="D31" s="37">
        <v>0.83926531184081843</v>
      </c>
      <c r="E31" s="37">
        <v>0.67980490259106285</v>
      </c>
      <c r="F31" s="37">
        <v>0.56182223354633298</v>
      </c>
      <c r="G31" s="37">
        <v>0.47208673791046035</v>
      </c>
      <c r="H31" s="37">
        <v>0.40225142165151651</v>
      </c>
      <c r="I31" s="37">
        <v>0.34683923601584848</v>
      </c>
      <c r="J31" s="37">
        <v>0.30213551226269464</v>
      </c>
      <c r="K31" s="37">
        <v>0.26554879007463394</v>
      </c>
      <c r="L31" s="37"/>
      <c r="M31" s="37"/>
      <c r="U31" s="96"/>
      <c r="V31" s="3">
        <v>5000</v>
      </c>
      <c r="W31" s="37">
        <v>6.378122236638889E-2</v>
      </c>
      <c r="X31" s="37">
        <v>4.5642124604584097E-2</v>
      </c>
      <c r="Y31" s="37">
        <v>3.5209267847455698E-2</v>
      </c>
      <c r="Z31" s="37">
        <v>2.8726478240392053E-2</v>
      </c>
      <c r="AA31" s="37">
        <v>2.4471431392675019E-2</v>
      </c>
      <c r="AB31" s="37">
        <v>2.171513010608022E-2</v>
      </c>
      <c r="AC31" s="37">
        <v>1.9821173597972207E-2</v>
      </c>
      <c r="AD31" s="37">
        <v>1.8668426231250743E-2</v>
      </c>
      <c r="AE31" s="37">
        <v>1.8759649446925531E-2</v>
      </c>
      <c r="AF31" s="37"/>
      <c r="AG31" s="37"/>
      <c r="AO31" s="96"/>
      <c r="AP31" s="3">
        <v>5000</v>
      </c>
      <c r="AQ31" s="37">
        <v>0.77765996426606732</v>
      </c>
      <c r="AR31" s="37">
        <v>0.77137129547935124</v>
      </c>
      <c r="AS31" s="37">
        <v>0.7585731184104425</v>
      </c>
      <c r="AT31" s="37">
        <v>0.74038272067582267</v>
      </c>
      <c r="AU31" s="37">
        <v>0.71865744992638869</v>
      </c>
      <c r="AV31" s="37">
        <v>0.69502700671337592</v>
      </c>
      <c r="AW31" s="37">
        <v>0.67067589028646368</v>
      </c>
      <c r="AX31" s="37">
        <v>0.64639172659751021</v>
      </c>
      <c r="AY31" s="37">
        <v>0.62266793369292051</v>
      </c>
      <c r="AZ31" s="37"/>
      <c r="BA31" s="37"/>
      <c r="BI31" s="96"/>
      <c r="BJ31" s="3">
        <v>5000</v>
      </c>
      <c r="BK31" s="67">
        <v>0</v>
      </c>
      <c r="BL31" s="67">
        <v>0</v>
      </c>
      <c r="BM31" s="67">
        <v>0</v>
      </c>
      <c r="BN31" s="67">
        <v>0</v>
      </c>
      <c r="BO31" s="67">
        <v>6.2544765260634459E-5</v>
      </c>
      <c r="BP31" s="67">
        <v>3.5750254287649169E-4</v>
      </c>
      <c r="BQ31" s="67">
        <v>7.2905262790388188E-4</v>
      </c>
      <c r="BR31" s="67">
        <v>1.3280470147660095E-3</v>
      </c>
      <c r="BS31" s="67">
        <v>2.8193757677014058E-3</v>
      </c>
      <c r="BT31" s="67"/>
      <c r="BU31" s="67"/>
      <c r="CD31" s="3"/>
      <c r="CE31" s="36"/>
      <c r="CF31" s="36"/>
      <c r="CG31" s="36"/>
      <c r="CH31" s="36"/>
      <c r="CI31" s="36"/>
      <c r="CJ31" s="36"/>
      <c r="CK31" s="36"/>
      <c r="CL31" s="36"/>
      <c r="CM31" s="36"/>
    </row>
    <row r="32" spans="1:92" x14ac:dyDescent="0.25">
      <c r="A32" s="96"/>
      <c r="B32" s="3">
        <v>5500</v>
      </c>
      <c r="C32" s="37">
        <v>1.1360784450977572</v>
      </c>
      <c r="D32" s="37">
        <v>0.89764222822538831</v>
      </c>
      <c r="E32" s="37">
        <v>0.72709020486256459</v>
      </c>
      <c r="F32" s="37">
        <v>0.60090099575418532</v>
      </c>
      <c r="G32" s="37">
        <v>0.50492375337678097</v>
      </c>
      <c r="H32" s="37">
        <v>0.43023089045122148</v>
      </c>
      <c r="I32" s="37">
        <v>0.37096439023600225</v>
      </c>
      <c r="J32" s="37">
        <v>0.32315120216113979</v>
      </c>
      <c r="K32" s="37">
        <v>0.28401961127443931</v>
      </c>
      <c r="L32" s="37"/>
      <c r="M32" s="37"/>
      <c r="U32" s="96"/>
      <c r="V32" s="3">
        <v>5500</v>
      </c>
      <c r="W32" s="37">
        <v>7.0779073863234496E-2</v>
      </c>
      <c r="X32" s="37">
        <v>5.0046465231959075E-2</v>
      </c>
      <c r="Y32" s="37">
        <v>3.8147708762067953E-2</v>
      </c>
      <c r="Z32" s="37">
        <v>3.0782782598128604E-2</v>
      </c>
      <c r="AA32" s="37">
        <v>2.5967210610061686E-2</v>
      </c>
      <c r="AB32" s="37">
        <v>2.2838025554437064E-2</v>
      </c>
      <c r="AC32" s="37">
        <v>2.0686319935974997E-2</v>
      </c>
      <c r="AD32" s="37">
        <v>1.9349593208982115E-2</v>
      </c>
      <c r="AE32" s="37">
        <v>1.9305882504156883E-2</v>
      </c>
      <c r="AF32" s="37"/>
      <c r="AG32" s="37"/>
      <c r="AO32" s="96"/>
      <c r="AP32" s="3">
        <v>5500</v>
      </c>
      <c r="AQ32" s="37">
        <v>0.77765996426606732</v>
      </c>
      <c r="AR32" s="37">
        <v>0.77137129547935124</v>
      </c>
      <c r="AS32" s="37">
        <v>0.7585731184104425</v>
      </c>
      <c r="AT32" s="37">
        <v>0.74038272067582267</v>
      </c>
      <c r="AU32" s="37">
        <v>0.71865744992638869</v>
      </c>
      <c r="AV32" s="37">
        <v>0.69502700671337592</v>
      </c>
      <c r="AW32" s="37">
        <v>0.67067589028646368</v>
      </c>
      <c r="AX32" s="37">
        <v>0.64639172659751021</v>
      </c>
      <c r="AY32" s="37">
        <v>0.62266793369292051</v>
      </c>
      <c r="AZ32" s="37"/>
      <c r="BA32" s="37"/>
      <c r="BI32" s="96"/>
      <c r="BJ32" s="3">
        <v>5500</v>
      </c>
      <c r="BK32" s="67">
        <v>0</v>
      </c>
      <c r="BL32" s="67">
        <v>0</v>
      </c>
      <c r="BM32" s="67">
        <v>0</v>
      </c>
      <c r="BN32" s="67">
        <v>0</v>
      </c>
      <c r="BO32" s="67">
        <v>6.2544765260634459E-5</v>
      </c>
      <c r="BP32" s="67">
        <v>3.5750254287649169E-4</v>
      </c>
      <c r="BQ32" s="67">
        <v>7.2905262790388188E-4</v>
      </c>
      <c r="BR32" s="67">
        <v>1.3280470147660095E-3</v>
      </c>
      <c r="BS32" s="67">
        <v>2.8193757677014058E-3</v>
      </c>
      <c r="BT32" s="67"/>
      <c r="BU32" s="67"/>
      <c r="CD32" s="3"/>
      <c r="CE32" s="36"/>
      <c r="CF32" s="36"/>
      <c r="CG32" s="36"/>
      <c r="CH32" s="36"/>
      <c r="CI32" s="36"/>
      <c r="CJ32" s="36"/>
      <c r="CK32" s="36"/>
      <c r="CL32" s="36"/>
      <c r="CM32" s="36"/>
    </row>
    <row r="33" spans="1:91" x14ac:dyDescent="0.25">
      <c r="A33" s="96"/>
      <c r="B33" s="3">
        <v>6000</v>
      </c>
      <c r="C33" s="37">
        <v>1.2161602682910309</v>
      </c>
      <c r="D33" s="37">
        <v>0.96091675519291342</v>
      </c>
      <c r="E33" s="37">
        <v>0.77834257170625976</v>
      </c>
      <c r="F33" s="37">
        <v>0.64325832372418157</v>
      </c>
      <c r="G33" s="37">
        <v>0.54051567479601392</v>
      </c>
      <c r="H33" s="37">
        <v>0.46055773473743178</v>
      </c>
      <c r="I33" s="37">
        <v>0.39711355699298972</v>
      </c>
      <c r="J33" s="37">
        <v>0.34593003186944882</v>
      </c>
      <c r="K33" s="37">
        <v>0.30404006707275771</v>
      </c>
      <c r="L33" s="37"/>
      <c r="M33" s="37"/>
      <c r="U33" s="96"/>
      <c r="V33" s="3">
        <v>6000</v>
      </c>
      <c r="W33" s="37">
        <v>7.8895262387284629E-2</v>
      </c>
      <c r="X33" s="37">
        <v>5.5154670067689315E-2</v>
      </c>
      <c r="Y33" s="37">
        <v>4.1555746277657651E-2</v>
      </c>
      <c r="Z33" s="37">
        <v>3.3167708005268054E-2</v>
      </c>
      <c r="AA33" s="37">
        <v>2.7702032522778572E-2</v>
      </c>
      <c r="AB33" s="37">
        <v>2.4140372589919332E-2</v>
      </c>
      <c r="AC33" s="37">
        <v>2.1689726593473728E-2</v>
      </c>
      <c r="AD33" s="37">
        <v>2.0139618491758882E-2</v>
      </c>
      <c r="AE33" s="37">
        <v>1.9939409876459126E-2</v>
      </c>
      <c r="AF33" s="37"/>
      <c r="AG33" s="37"/>
      <c r="AO33" s="96"/>
      <c r="AP33" s="3">
        <v>6000</v>
      </c>
      <c r="AQ33" s="37">
        <v>0.77765996426606732</v>
      </c>
      <c r="AR33" s="37">
        <v>0.77137129547935124</v>
      </c>
      <c r="AS33" s="37">
        <v>0.7585731184104425</v>
      </c>
      <c r="AT33" s="37">
        <v>0.74038272067582267</v>
      </c>
      <c r="AU33" s="37">
        <v>0.71865744992638869</v>
      </c>
      <c r="AV33" s="37">
        <v>0.69502700671337592</v>
      </c>
      <c r="AW33" s="37">
        <v>0.67067589028646368</v>
      </c>
      <c r="AX33" s="37">
        <v>0.64639172659751021</v>
      </c>
      <c r="AY33" s="37">
        <v>0.62266793369292051</v>
      </c>
      <c r="AZ33" s="37"/>
      <c r="BA33" s="37"/>
      <c r="BI33" s="96"/>
      <c r="BJ33" s="3">
        <v>6000</v>
      </c>
      <c r="BK33" s="67">
        <v>0</v>
      </c>
      <c r="BL33" s="67">
        <v>0</v>
      </c>
      <c r="BM33" s="67">
        <v>0</v>
      </c>
      <c r="BN33" s="67">
        <v>0</v>
      </c>
      <c r="BO33" s="67">
        <v>6.2544765260634459E-5</v>
      </c>
      <c r="BP33" s="67">
        <v>3.5750254287649169E-4</v>
      </c>
      <c r="BQ33" s="67">
        <v>7.2905262790388188E-4</v>
      </c>
      <c r="BR33" s="67">
        <v>1.3280470147660095E-3</v>
      </c>
      <c r="BS33" s="67">
        <v>2.8193757677014058E-3</v>
      </c>
      <c r="BT33" s="67"/>
      <c r="BU33" s="67"/>
      <c r="CD33" s="3"/>
      <c r="CE33" s="36"/>
      <c r="CF33" s="36"/>
      <c r="CG33" s="36"/>
      <c r="CH33" s="36"/>
      <c r="CI33" s="36"/>
      <c r="CJ33" s="36"/>
      <c r="CK33" s="36"/>
      <c r="CL33" s="36"/>
      <c r="CM33" s="36"/>
    </row>
    <row r="34" spans="1:91" x14ac:dyDescent="0.25">
      <c r="A34" s="96"/>
      <c r="B34" s="3">
        <v>6500</v>
      </c>
      <c r="C34" s="37">
        <v>1.3030519508899658</v>
      </c>
      <c r="D34" s="37">
        <v>1.0295719118142941</v>
      </c>
      <c r="E34" s="37">
        <v>0.8339532485695782</v>
      </c>
      <c r="F34" s="37">
        <v>0.68921756080130425</v>
      </c>
      <c r="G34" s="37">
        <v>0.57913420039554042</v>
      </c>
      <c r="H34" s="37">
        <v>0.4934634606920581</v>
      </c>
      <c r="I34" s="37">
        <v>0.42548635131100937</v>
      </c>
      <c r="J34" s="37">
        <v>0.37064588825314593</v>
      </c>
      <c r="K34" s="37">
        <v>0.32576298772249146</v>
      </c>
      <c r="L34" s="37"/>
      <c r="M34" s="37"/>
      <c r="U34" s="96"/>
      <c r="V34" s="3">
        <v>6500</v>
      </c>
      <c r="W34" s="37">
        <v>8.8326740087371444E-2</v>
      </c>
      <c r="X34" s="37">
        <v>6.1090697779823268E-2</v>
      </c>
      <c r="Y34" s="37">
        <v>4.5516081813740505E-2</v>
      </c>
      <c r="Z34" s="37">
        <v>3.5939128448146271E-2</v>
      </c>
      <c r="AA34" s="37">
        <v>2.9717995327847344E-2</v>
      </c>
      <c r="AB34" s="37">
        <v>2.565377472277118E-2</v>
      </c>
      <c r="AC34" s="37">
        <v>2.2855742819720203E-2</v>
      </c>
      <c r="AD34" s="37">
        <v>2.1057673292350872E-2</v>
      </c>
      <c r="AE34" s="37">
        <v>2.0675605107331057E-2</v>
      </c>
      <c r="AF34" s="37"/>
      <c r="AG34" s="37"/>
      <c r="AO34" s="96"/>
      <c r="AP34" s="3">
        <v>6500</v>
      </c>
      <c r="AQ34" s="37">
        <v>0.77765996426606732</v>
      </c>
      <c r="AR34" s="37">
        <v>0.77137129547935124</v>
      </c>
      <c r="AS34" s="37">
        <v>0.7585731184104425</v>
      </c>
      <c r="AT34" s="37">
        <v>0.74038272067582267</v>
      </c>
      <c r="AU34" s="37">
        <v>0.71865744992638869</v>
      </c>
      <c r="AV34" s="37">
        <v>0.69502700671337592</v>
      </c>
      <c r="AW34" s="37">
        <v>0.67067589028646368</v>
      </c>
      <c r="AX34" s="37">
        <v>0.64639172659751021</v>
      </c>
      <c r="AY34" s="37">
        <v>0.62266793369292051</v>
      </c>
      <c r="AZ34" s="37"/>
      <c r="BA34" s="37"/>
      <c r="BI34" s="96"/>
      <c r="BJ34" s="3">
        <v>6500</v>
      </c>
      <c r="BK34" s="67">
        <v>0</v>
      </c>
      <c r="BL34" s="67">
        <v>0</v>
      </c>
      <c r="BM34" s="67">
        <v>0</v>
      </c>
      <c r="BN34" s="67">
        <v>0</v>
      </c>
      <c r="BO34" s="67">
        <v>6.2544765260634459E-5</v>
      </c>
      <c r="BP34" s="67">
        <v>3.5750254287649169E-4</v>
      </c>
      <c r="BQ34" s="67">
        <v>7.2905262790388188E-4</v>
      </c>
      <c r="BR34" s="67">
        <v>1.3280470147660095E-3</v>
      </c>
      <c r="BS34" s="67">
        <v>2.8193757677014058E-3</v>
      </c>
      <c r="BT34" s="67"/>
      <c r="BU34" s="67"/>
      <c r="CD34" s="3"/>
      <c r="CE34" s="36"/>
      <c r="CF34" s="36"/>
      <c r="CG34" s="36"/>
      <c r="CH34" s="36"/>
      <c r="CI34" s="36"/>
      <c r="CJ34" s="36"/>
      <c r="CK34" s="36"/>
      <c r="CL34" s="36"/>
      <c r="CM34" s="36"/>
    </row>
    <row r="35" spans="1:91" x14ac:dyDescent="0.25">
      <c r="A35" s="96"/>
      <c r="B35" s="3">
        <v>7000</v>
      </c>
      <c r="C35" s="37">
        <v>1.3974343542692176</v>
      </c>
      <c r="D35" s="37">
        <v>1.1041456626324686</v>
      </c>
      <c r="E35" s="37">
        <v>0.89435798673229949</v>
      </c>
      <c r="F35" s="37">
        <v>0.73913883201016484</v>
      </c>
      <c r="G35" s="37">
        <v>0.62108193523076338</v>
      </c>
      <c r="H35" s="37">
        <v>0.52920590930905276</v>
      </c>
      <c r="I35" s="37">
        <v>0.45630509527158142</v>
      </c>
      <c r="J35" s="37">
        <v>0.39749243854768862</v>
      </c>
      <c r="K35" s="37">
        <v>0.3493585885673044</v>
      </c>
      <c r="L35" s="37"/>
      <c r="M35" s="37"/>
      <c r="U35" s="96"/>
      <c r="V35" s="3">
        <v>7000</v>
      </c>
      <c r="W35" s="37">
        <v>9.9308445572373463E-2</v>
      </c>
      <c r="X35" s="37">
        <v>6.8002415132965677E-2</v>
      </c>
      <c r="Y35" s="37">
        <v>5.0127367538208609E-2</v>
      </c>
      <c r="Z35" s="37">
        <v>3.9166080156734027E-2</v>
      </c>
      <c r="AA35" s="37">
        <v>3.2065316765481668E-2</v>
      </c>
      <c r="AB35" s="37">
        <v>2.7415930880252196E-2</v>
      </c>
      <c r="AC35" s="37">
        <v>2.4213414140647399E-2</v>
      </c>
      <c r="AD35" s="37">
        <v>2.2126626404449165E-2</v>
      </c>
      <c r="AE35" s="37">
        <v>2.1532806858953094E-2</v>
      </c>
      <c r="AF35" s="37"/>
      <c r="AG35" s="37"/>
      <c r="AO35" s="96"/>
      <c r="AP35" s="3">
        <v>7000</v>
      </c>
      <c r="AQ35" s="37">
        <v>0.77765996426606732</v>
      </c>
      <c r="AR35" s="37">
        <v>0.77137129547935124</v>
      </c>
      <c r="AS35" s="37">
        <v>0.7585731184104425</v>
      </c>
      <c r="AT35" s="37">
        <v>0.74038272067582267</v>
      </c>
      <c r="AU35" s="37">
        <v>0.71865744992638869</v>
      </c>
      <c r="AV35" s="37">
        <v>0.69502700671337592</v>
      </c>
      <c r="AW35" s="37">
        <v>0.67067589028646368</v>
      </c>
      <c r="AX35" s="37">
        <v>0.64639172659751021</v>
      </c>
      <c r="AY35" s="37">
        <v>0.62266793369292051</v>
      </c>
      <c r="AZ35" s="37"/>
      <c r="BA35" s="37"/>
      <c r="BI35" s="96"/>
      <c r="BJ35" s="3">
        <v>7000</v>
      </c>
      <c r="BK35" s="67">
        <v>0</v>
      </c>
      <c r="BL35" s="67">
        <v>0</v>
      </c>
      <c r="BM35" s="67">
        <v>0</v>
      </c>
      <c r="BN35" s="67">
        <v>0</v>
      </c>
      <c r="BO35" s="67">
        <v>6.2544765260634459E-5</v>
      </c>
      <c r="BP35" s="67">
        <v>3.5750254287649169E-4</v>
      </c>
      <c r="BQ35" s="67">
        <v>7.2905262790388188E-4</v>
      </c>
      <c r="BR35" s="67">
        <v>1.3280470147660095E-3</v>
      </c>
      <c r="BS35" s="67">
        <v>2.8193757677014058E-3</v>
      </c>
      <c r="BT35" s="67"/>
      <c r="BU35" s="67"/>
      <c r="CD35" s="3"/>
      <c r="CE35" s="36"/>
      <c r="CF35" s="36"/>
      <c r="CG35" s="36"/>
      <c r="CH35" s="36"/>
      <c r="CI35" s="36"/>
      <c r="CJ35" s="36"/>
      <c r="CK35" s="36"/>
      <c r="CL35" s="36"/>
      <c r="CM35" s="36"/>
    </row>
    <row r="36" spans="1:91" x14ac:dyDescent="0.25">
      <c r="A36" s="96"/>
      <c r="B36" s="3">
        <v>7500</v>
      </c>
      <c r="C36" s="37">
        <v>1.5000668721292121</v>
      </c>
      <c r="D36" s="37">
        <v>1.185238022423081</v>
      </c>
      <c r="E36" s="37">
        <v>0.96004279816269578</v>
      </c>
      <c r="F36" s="37">
        <v>0.79342380013445923</v>
      </c>
      <c r="G36" s="37">
        <v>0.666696387612983</v>
      </c>
      <c r="H36" s="37">
        <v>0.56807266163473125</v>
      </c>
      <c r="I36" s="37">
        <v>0.48981775416464074</v>
      </c>
      <c r="J36" s="37">
        <v>0.42668568807230922</v>
      </c>
      <c r="K36" s="37">
        <v>0.37501671803230302</v>
      </c>
      <c r="L36" s="37"/>
      <c r="M36" s="37"/>
      <c r="U36" s="96"/>
      <c r="V36" s="3">
        <v>7500</v>
      </c>
      <c r="W36" s="37">
        <v>0.11212128527643654</v>
      </c>
      <c r="X36" s="37">
        <v>7.606662033738959E-2</v>
      </c>
      <c r="Y36" s="37">
        <v>5.5507557791711196E-2</v>
      </c>
      <c r="Z36" s="37">
        <v>4.2931106912492037E-2</v>
      </c>
      <c r="AA36" s="37">
        <v>3.4804040122741138E-2</v>
      </c>
      <c r="AB36" s="37">
        <v>2.9471916119536534E-2</v>
      </c>
      <c r="AC36" s="37">
        <v>2.5797469097284264E-2</v>
      </c>
      <c r="AD36" s="37">
        <v>2.3373821104323445E-2</v>
      </c>
      <c r="AE36" s="37">
        <v>2.253294191562305E-2</v>
      </c>
      <c r="AF36" s="37"/>
      <c r="AG36" s="37"/>
      <c r="AO36" s="96"/>
      <c r="AP36" s="3">
        <v>7500</v>
      </c>
      <c r="AQ36" s="37">
        <v>0.77765996426606732</v>
      </c>
      <c r="AR36" s="37">
        <v>0.77137129547935124</v>
      </c>
      <c r="AS36" s="37">
        <v>0.7585731184104425</v>
      </c>
      <c r="AT36" s="37">
        <v>0.74038272067582267</v>
      </c>
      <c r="AU36" s="37">
        <v>0.71865744992638869</v>
      </c>
      <c r="AV36" s="37">
        <v>0.69502700671337592</v>
      </c>
      <c r="AW36" s="37">
        <v>0.67067589028646368</v>
      </c>
      <c r="AX36" s="37">
        <v>0.64639172659751021</v>
      </c>
      <c r="AY36" s="37">
        <v>0.62266793369292051</v>
      </c>
      <c r="AZ36" s="37"/>
      <c r="BA36" s="37"/>
      <c r="BI36" s="96"/>
      <c r="BJ36" s="3">
        <v>7500</v>
      </c>
      <c r="BK36" s="67">
        <v>0</v>
      </c>
      <c r="BL36" s="67">
        <v>0</v>
      </c>
      <c r="BM36" s="67">
        <v>0</v>
      </c>
      <c r="BN36" s="67">
        <v>0</v>
      </c>
      <c r="BO36" s="67">
        <v>6.2544765260634459E-5</v>
      </c>
      <c r="BP36" s="67">
        <v>3.5750254287649169E-4</v>
      </c>
      <c r="BQ36" s="67">
        <v>7.2905262790388188E-4</v>
      </c>
      <c r="BR36" s="67">
        <v>1.3280470147660095E-3</v>
      </c>
      <c r="BS36" s="67">
        <v>2.8193757677014058E-3</v>
      </c>
      <c r="BT36" s="67"/>
      <c r="BU36" s="67"/>
      <c r="CD36" s="3"/>
      <c r="CE36" s="36"/>
      <c r="CF36" s="36"/>
      <c r="CG36" s="36"/>
      <c r="CH36" s="36"/>
      <c r="CI36" s="36"/>
      <c r="CJ36" s="36"/>
      <c r="CK36" s="36"/>
      <c r="CL36" s="36"/>
      <c r="CM36" s="36"/>
    </row>
    <row r="37" spans="1:91" x14ac:dyDescent="0.25">
      <c r="A37" s="96"/>
      <c r="B37" s="3">
        <v>8000</v>
      </c>
      <c r="C37" s="37">
        <v>1.6117977289496164</v>
      </c>
      <c r="D37" s="37">
        <v>1.2735191932441414</v>
      </c>
      <c r="E37" s="37">
        <v>1.0315505465277548</v>
      </c>
      <c r="F37" s="37">
        <v>0.85252111283285503</v>
      </c>
      <c r="G37" s="37">
        <v>0.71635454619982941</v>
      </c>
      <c r="H37" s="37">
        <v>0.61038493877381916</v>
      </c>
      <c r="I37" s="37">
        <v>0.52630129924885449</v>
      </c>
      <c r="J37" s="37">
        <v>0.45846690956789082</v>
      </c>
      <c r="K37" s="37">
        <v>0.40294943223740409</v>
      </c>
      <c r="L37" s="37"/>
      <c r="M37" s="37"/>
      <c r="U37" s="96"/>
      <c r="V37" s="3">
        <v>8000</v>
      </c>
      <c r="W37" s="37">
        <v>0.12710193337981721</v>
      </c>
      <c r="X37" s="37">
        <v>8.5495210969224134E-2</v>
      </c>
      <c r="Y37" s="37">
        <v>6.1798024134734481E-2</v>
      </c>
      <c r="Z37" s="37">
        <v>4.7333139735078453E-2</v>
      </c>
      <c r="AA37" s="37">
        <v>3.8006128950450677E-2</v>
      </c>
      <c r="AB37" s="37">
        <v>3.1875754151295919E-2</v>
      </c>
      <c r="AC37" s="37">
        <v>2.7649530812710849E-2</v>
      </c>
      <c r="AD37" s="37">
        <v>2.4832029069673488E-2</v>
      </c>
      <c r="AE37" s="37">
        <v>2.3702290138646255E-2</v>
      </c>
      <c r="AF37" s="37"/>
      <c r="AG37" s="37"/>
      <c r="AO37" s="96"/>
      <c r="AP37" s="3">
        <v>8000</v>
      </c>
      <c r="AQ37" s="37">
        <v>0.77765996426606732</v>
      </c>
      <c r="AR37" s="37">
        <v>0.77137129547935124</v>
      </c>
      <c r="AS37" s="37">
        <v>0.7585731184104425</v>
      </c>
      <c r="AT37" s="37">
        <v>0.74038272067582267</v>
      </c>
      <c r="AU37" s="37">
        <v>0.71865744992638869</v>
      </c>
      <c r="AV37" s="37">
        <v>0.69502700671337592</v>
      </c>
      <c r="AW37" s="37">
        <v>0.67067589028646368</v>
      </c>
      <c r="AX37" s="37">
        <v>0.64639172659751021</v>
      </c>
      <c r="AY37" s="37">
        <v>0.62266793369292051</v>
      </c>
      <c r="AZ37" s="37"/>
      <c r="BA37" s="37"/>
      <c r="BI37" s="96"/>
      <c r="BJ37" s="3">
        <v>8000</v>
      </c>
      <c r="BK37" s="67">
        <v>0</v>
      </c>
      <c r="BL37" s="67">
        <v>0</v>
      </c>
      <c r="BM37" s="67">
        <v>0</v>
      </c>
      <c r="BN37" s="67">
        <v>0</v>
      </c>
      <c r="BO37" s="67">
        <v>6.2544765260634459E-5</v>
      </c>
      <c r="BP37" s="67">
        <v>3.5750254287649169E-4</v>
      </c>
      <c r="BQ37" s="67">
        <v>7.2905262790388188E-4</v>
      </c>
      <c r="BR37" s="67">
        <v>1.3280470147660095E-3</v>
      </c>
      <c r="BS37" s="67">
        <v>2.8193757677014058E-3</v>
      </c>
      <c r="BT37" s="67"/>
      <c r="BU37" s="67"/>
      <c r="CD37" s="3"/>
      <c r="CE37" s="36"/>
      <c r="CF37" s="36"/>
      <c r="CG37" s="36"/>
      <c r="CH37" s="36"/>
      <c r="CI37" s="36"/>
      <c r="CJ37" s="36"/>
      <c r="CK37" s="36"/>
      <c r="CL37" s="36"/>
      <c r="CM37" s="36"/>
    </row>
    <row r="38" spans="1:91" x14ac:dyDescent="0.25">
      <c r="A38" s="96"/>
      <c r="B38" s="3">
        <v>8500</v>
      </c>
      <c r="C38" s="37">
        <v>1.7335757962482139</v>
      </c>
      <c r="D38" s="37">
        <v>1.3697389007393299</v>
      </c>
      <c r="E38" s="37">
        <v>1.1094885095988569</v>
      </c>
      <c r="F38" s="37">
        <v>0.91693265256103884</v>
      </c>
      <c r="G38" s="37">
        <v>0.77047813166587309</v>
      </c>
      <c r="H38" s="37">
        <v>0.65650207668571414</v>
      </c>
      <c r="I38" s="37">
        <v>0.56606556612186587</v>
      </c>
      <c r="J38" s="37">
        <v>0.49310600426615875</v>
      </c>
      <c r="K38" s="37">
        <v>0.43339394906205347</v>
      </c>
      <c r="L38" s="37"/>
      <c r="M38" s="37"/>
      <c r="U38" s="96"/>
      <c r="V38" s="3">
        <v>8500</v>
      </c>
      <c r="W38" s="37">
        <v>0.14465489785314145</v>
      </c>
      <c r="X38" s="37">
        <v>9.6542778154035142E-2</v>
      </c>
      <c r="Y38" s="37">
        <v>6.9168621953850942E-2</v>
      </c>
      <c r="Z38" s="37">
        <v>5.2491042464789403E-2</v>
      </c>
      <c r="AA38" s="37">
        <v>4.1758046160262866E-2</v>
      </c>
      <c r="AB38" s="37">
        <v>3.4692353491986412E-2</v>
      </c>
      <c r="AC38" s="37">
        <v>2.98196087204851E-2</v>
      </c>
      <c r="AD38" s="37">
        <v>2.6540624881675214E-2</v>
      </c>
      <c r="AE38" s="37">
        <v>2.5072426308592008E-2</v>
      </c>
      <c r="AF38" s="37"/>
      <c r="AG38" s="37"/>
      <c r="AO38" s="96"/>
      <c r="AP38" s="3">
        <v>8500</v>
      </c>
      <c r="AQ38" s="37">
        <v>0.77765996426606732</v>
      </c>
      <c r="AR38" s="37">
        <v>0.77137129547935124</v>
      </c>
      <c r="AS38" s="37">
        <v>0.7585731184104425</v>
      </c>
      <c r="AT38" s="37">
        <v>0.74038272067582267</v>
      </c>
      <c r="AU38" s="37">
        <v>0.71865744992638869</v>
      </c>
      <c r="AV38" s="37">
        <v>0.69502700671337592</v>
      </c>
      <c r="AW38" s="37">
        <v>0.67067589028646368</v>
      </c>
      <c r="AX38" s="37">
        <v>0.64639172659751021</v>
      </c>
      <c r="AY38" s="37">
        <v>0.62266793369292051</v>
      </c>
      <c r="AZ38" s="37"/>
      <c r="BA38" s="37"/>
      <c r="BI38" s="96"/>
      <c r="BJ38" s="3">
        <v>8500</v>
      </c>
      <c r="BK38" s="67">
        <v>0</v>
      </c>
      <c r="BL38" s="67">
        <v>0</v>
      </c>
      <c r="BM38" s="67">
        <v>0</v>
      </c>
      <c r="BN38" s="67">
        <v>0</v>
      </c>
      <c r="BO38" s="67">
        <v>6.2544765260634459E-5</v>
      </c>
      <c r="BP38" s="67">
        <v>3.5750254287649169E-4</v>
      </c>
      <c r="BQ38" s="67">
        <v>7.2905262790388188E-4</v>
      </c>
      <c r="BR38" s="67">
        <v>1.3280470147660095E-3</v>
      </c>
      <c r="BS38" s="67">
        <v>2.8193757677014058E-3</v>
      </c>
      <c r="BT38" s="67"/>
      <c r="BU38" s="67"/>
      <c r="CD38" s="3"/>
      <c r="CE38" s="36"/>
      <c r="CF38" s="36"/>
      <c r="CG38" s="36"/>
      <c r="CH38" s="36"/>
      <c r="CI38" s="36"/>
      <c r="CJ38" s="36"/>
      <c r="CK38" s="36"/>
      <c r="CL38" s="36"/>
      <c r="CM38" s="36"/>
    </row>
    <row r="39" spans="1:91" x14ac:dyDescent="0.25">
      <c r="A39" s="96"/>
      <c r="B39" s="3">
        <v>9000</v>
      </c>
      <c r="C39" s="37">
        <v>1.8664641757145488</v>
      </c>
      <c r="D39" s="37">
        <v>1.4747371264905078</v>
      </c>
      <c r="E39" s="37">
        <v>1.1945370724573112</v>
      </c>
      <c r="F39" s="37">
        <v>0.98722072103910019</v>
      </c>
      <c r="G39" s="37">
        <v>0.82953963365091055</v>
      </c>
      <c r="H39" s="37">
        <v>0.70682667009308353</v>
      </c>
      <c r="I39" s="37">
        <v>0.60945769002924044</v>
      </c>
      <c r="J39" s="37">
        <v>0.53090536553658274</v>
      </c>
      <c r="K39" s="37">
        <v>0.4666160439286372</v>
      </c>
      <c r="L39" s="37"/>
      <c r="M39" s="37"/>
      <c r="U39" s="96"/>
      <c r="V39" s="3">
        <v>9000</v>
      </c>
      <c r="W39" s="37">
        <v>0.16526741876187187</v>
      </c>
      <c r="X39" s="37">
        <v>0.1095159833316329</v>
      </c>
      <c r="Y39" s="37">
        <v>7.7823946351463044E-2</v>
      </c>
      <c r="Z39" s="37">
        <v>5.854798959887255E-2</v>
      </c>
      <c r="AA39" s="37">
        <v>4.6163938512669152E-2</v>
      </c>
      <c r="AB39" s="37">
        <v>3.7999898088782597E-2</v>
      </c>
      <c r="AC39" s="37">
        <v>3.2367940446191575E-2</v>
      </c>
      <c r="AD39" s="37">
        <v>2.8547036217662199E-2</v>
      </c>
      <c r="AE39" s="37">
        <v>2.6681383045998666E-2</v>
      </c>
      <c r="AF39" s="37"/>
      <c r="AG39" s="37"/>
      <c r="AO39" s="96"/>
      <c r="AP39" s="3">
        <v>9000</v>
      </c>
      <c r="AQ39" s="37">
        <v>0.77765996426606732</v>
      </c>
      <c r="AR39" s="37">
        <v>0.77137129547935124</v>
      </c>
      <c r="AS39" s="37">
        <v>0.7585731184104425</v>
      </c>
      <c r="AT39" s="37">
        <v>0.74038272067582267</v>
      </c>
      <c r="AU39" s="37">
        <v>0.71865744992638869</v>
      </c>
      <c r="AV39" s="37">
        <v>0.69502700671337592</v>
      </c>
      <c r="AW39" s="37">
        <v>0.67067589028646368</v>
      </c>
      <c r="AX39" s="37">
        <v>0.64639172659751021</v>
      </c>
      <c r="AY39" s="37">
        <v>0.62266793369292051</v>
      </c>
      <c r="AZ39" s="37"/>
      <c r="BA39" s="37"/>
      <c r="BI39" s="96"/>
      <c r="BJ39" s="3">
        <v>9000</v>
      </c>
      <c r="BK39" s="67">
        <v>0</v>
      </c>
      <c r="BL39" s="67">
        <v>0</v>
      </c>
      <c r="BM39" s="67">
        <v>0</v>
      </c>
      <c r="BN39" s="67">
        <v>0</v>
      </c>
      <c r="BO39" s="67">
        <v>6.2544765260634459E-5</v>
      </c>
      <c r="BP39" s="67">
        <v>3.5750254287649169E-4</v>
      </c>
      <c r="BQ39" s="67">
        <v>7.2905262790388188E-4</v>
      </c>
      <c r="BR39" s="67">
        <v>1.3280470147660095E-3</v>
      </c>
      <c r="BS39" s="67">
        <v>2.8193757677014058E-3</v>
      </c>
      <c r="BT39" s="67"/>
      <c r="BU39" s="67"/>
      <c r="CD39" s="3"/>
      <c r="CE39" s="36"/>
      <c r="CF39" s="36"/>
      <c r="CG39" s="36"/>
      <c r="CH39" s="36"/>
      <c r="CI39" s="36"/>
      <c r="CJ39" s="36"/>
      <c r="CK39" s="36"/>
      <c r="CL39" s="36"/>
      <c r="CM39" s="36"/>
    </row>
    <row r="40" spans="1:91" x14ac:dyDescent="0.25">
      <c r="A40" s="96"/>
      <c r="B40" s="3">
        <v>9500</v>
      </c>
      <c r="C40" s="37">
        <v>2.0116558434457006</v>
      </c>
      <c r="D40" s="37">
        <v>1.5894564688953683</v>
      </c>
      <c r="E40" s="37">
        <v>1.2874597398052487</v>
      </c>
      <c r="F40" s="37">
        <v>1.0640163138886352</v>
      </c>
      <c r="G40" s="37">
        <v>0.89406926375364504</v>
      </c>
      <c r="H40" s="37">
        <v>0.76181049692618252</v>
      </c>
      <c r="I40" s="37">
        <v>0.65686721418635141</v>
      </c>
      <c r="J40" s="37">
        <v>0.57220432880233274</v>
      </c>
      <c r="K40" s="37">
        <v>0.50291396086142515</v>
      </c>
      <c r="L40" s="37"/>
      <c r="M40" s="37"/>
      <c r="U40" s="96"/>
      <c r="V40" s="3">
        <v>9500</v>
      </c>
      <c r="W40" s="37">
        <v>0.18952791724540816</v>
      </c>
      <c r="X40" s="37">
        <v>0.12478516976114959</v>
      </c>
      <c r="Y40" s="37">
        <v>8.8011078985678851E-2</v>
      </c>
      <c r="Z40" s="37">
        <v>6.5676887486323374E-2</v>
      </c>
      <c r="AA40" s="37">
        <v>5.1349580055858809E-2</v>
      </c>
      <c r="AB40" s="37">
        <v>4.1892807696011475E-2</v>
      </c>
      <c r="AC40" s="37">
        <v>3.5367272659888156E-2</v>
      </c>
      <c r="AD40" s="37">
        <v>3.090853966450386E-2</v>
      </c>
      <c r="AE40" s="37">
        <v>2.8575090887983035E-2</v>
      </c>
      <c r="AF40" s="37"/>
      <c r="AG40" s="37"/>
      <c r="AO40" s="96"/>
      <c r="AP40" s="3">
        <v>9500</v>
      </c>
      <c r="AQ40" s="37">
        <v>0.77765996426606732</v>
      </c>
      <c r="AR40" s="37">
        <v>0.77137129547935124</v>
      </c>
      <c r="AS40" s="37">
        <v>0.7585731184104425</v>
      </c>
      <c r="AT40" s="37">
        <v>0.74038272067582267</v>
      </c>
      <c r="AU40" s="37">
        <v>0.71865744992638869</v>
      </c>
      <c r="AV40" s="37">
        <v>0.69502700671337592</v>
      </c>
      <c r="AW40" s="37">
        <v>0.67067589028646368</v>
      </c>
      <c r="AX40" s="37">
        <v>0.64639172659751021</v>
      </c>
      <c r="AY40" s="37">
        <v>0.62266793369292051</v>
      </c>
      <c r="AZ40" s="37"/>
      <c r="BA40" s="37"/>
      <c r="BI40" s="96"/>
      <c r="BJ40" s="3">
        <v>9500</v>
      </c>
      <c r="BK40" s="67">
        <v>0</v>
      </c>
      <c r="BL40" s="67">
        <v>0</v>
      </c>
      <c r="BM40" s="67">
        <v>0</v>
      </c>
      <c r="BN40" s="67">
        <v>0</v>
      </c>
      <c r="BO40" s="67">
        <v>6.2544765260634459E-5</v>
      </c>
      <c r="BP40" s="67">
        <v>3.5750254287649169E-4</v>
      </c>
      <c r="BQ40" s="67">
        <v>7.2905262790388188E-4</v>
      </c>
      <c r="BR40" s="67">
        <v>1.3280470147660095E-3</v>
      </c>
      <c r="BS40" s="67">
        <v>2.8193757677014058E-3</v>
      </c>
      <c r="BT40" s="67"/>
      <c r="BU40" s="67"/>
      <c r="CD40" s="3"/>
      <c r="CE40" s="36"/>
      <c r="CF40" s="36"/>
      <c r="CG40" s="36"/>
      <c r="CH40" s="36"/>
      <c r="CI40" s="36"/>
      <c r="CJ40" s="36"/>
      <c r="CK40" s="36"/>
      <c r="CL40" s="36"/>
      <c r="CM40" s="36"/>
    </row>
    <row r="41" spans="1:91" x14ac:dyDescent="0.25">
      <c r="A41" s="96"/>
      <c r="B41" s="3">
        <v>10000</v>
      </c>
      <c r="C41" s="37">
        <v>2.1704917036571714</v>
      </c>
      <c r="D41" s="37">
        <v>1.7149564078278892</v>
      </c>
      <c r="E41" s="37">
        <v>1.38911469034059</v>
      </c>
      <c r="F41" s="37">
        <v>1.1480286697029669</v>
      </c>
      <c r="G41" s="37">
        <v>0.96466297940318735</v>
      </c>
      <c r="H41" s="37">
        <v>0.82196135523111835</v>
      </c>
      <c r="I41" s="37">
        <v>0.7087319848676481</v>
      </c>
      <c r="J41" s="37">
        <v>0.61738430681804002</v>
      </c>
      <c r="K41" s="37">
        <v>0.54262292591429284</v>
      </c>
      <c r="L41" s="37"/>
      <c r="M41" s="37"/>
      <c r="U41" s="96"/>
      <c r="V41" s="3">
        <v>10000</v>
      </c>
      <c r="W41" s="37">
        <v>0.21814890982795032</v>
      </c>
      <c r="X41" s="37">
        <v>0.14279878443758443</v>
      </c>
      <c r="Y41" s="37">
        <v>0.10002920993047892</v>
      </c>
      <c r="Z41" s="37">
        <v>7.4087107651292117E-2</v>
      </c>
      <c r="AA41" s="37">
        <v>5.7467270021877938E-2</v>
      </c>
      <c r="AB41" s="37">
        <v>4.648541477160871E-2</v>
      </c>
      <c r="AC41" s="37">
        <v>3.8905693978767704E-2</v>
      </c>
      <c r="AD41" s="37">
        <v>3.3694491184896966E-2</v>
      </c>
      <c r="AE41" s="37">
        <v>3.0809166916376179E-2</v>
      </c>
      <c r="AF41" s="37"/>
      <c r="AG41" s="37"/>
      <c r="AO41" s="96"/>
      <c r="AP41" s="3">
        <v>10000</v>
      </c>
      <c r="AQ41" s="37">
        <v>0.77765996426606732</v>
      </c>
      <c r="AR41" s="37">
        <v>0.77137129547935124</v>
      </c>
      <c r="AS41" s="37">
        <v>0.7585731184104425</v>
      </c>
      <c r="AT41" s="37">
        <v>0.74038272067582267</v>
      </c>
      <c r="AU41" s="37">
        <v>0.71865744992638869</v>
      </c>
      <c r="AV41" s="37">
        <v>0.69502700671337592</v>
      </c>
      <c r="AW41" s="37">
        <v>0.67067589028646368</v>
      </c>
      <c r="AX41" s="37">
        <v>0.64639172659751021</v>
      </c>
      <c r="AY41" s="37">
        <v>0.62266793369292051</v>
      </c>
      <c r="AZ41" s="37"/>
      <c r="BA41" s="37"/>
      <c r="BI41" s="96"/>
      <c r="BJ41" s="3">
        <v>10000</v>
      </c>
      <c r="BK41" s="67">
        <v>0</v>
      </c>
      <c r="BL41" s="67">
        <v>0</v>
      </c>
      <c r="BM41" s="67">
        <v>0</v>
      </c>
      <c r="BN41" s="67">
        <v>0</v>
      </c>
      <c r="BO41" s="67">
        <v>6.2544765260634459E-5</v>
      </c>
      <c r="BP41" s="67">
        <v>3.5750254287649169E-4</v>
      </c>
      <c r="BQ41" s="67">
        <v>7.2905262790388188E-4</v>
      </c>
      <c r="BR41" s="67">
        <v>1.3280470147660095E-3</v>
      </c>
      <c r="BS41" s="67">
        <v>2.8193757677014058E-3</v>
      </c>
      <c r="BT41" s="67"/>
      <c r="BU41" s="67"/>
      <c r="CD41" s="3"/>
      <c r="CE41" s="36"/>
      <c r="CF41" s="36"/>
      <c r="CG41" s="36"/>
      <c r="CH41" s="36"/>
      <c r="CI41" s="36"/>
      <c r="CJ41" s="36"/>
      <c r="CK41" s="36"/>
      <c r="CL41" s="36"/>
      <c r="CM41" s="36"/>
    </row>
    <row r="42" spans="1:91" x14ac:dyDescent="0.25">
      <c r="A42" s="96"/>
      <c r="B42" s="3">
        <v>10500</v>
      </c>
      <c r="C42" s="37">
        <v>2.3444814653282258</v>
      </c>
      <c r="D42" s="37">
        <v>1.8524297997655124</v>
      </c>
      <c r="E42" s="37">
        <v>1.5004681378100648</v>
      </c>
      <c r="F42" s="37">
        <v>1.240056312239723</v>
      </c>
      <c r="G42" s="37">
        <v>1.0419917623681005</v>
      </c>
      <c r="H42" s="37">
        <v>0.88785096911838157</v>
      </c>
      <c r="I42" s="37">
        <v>0.76554496827044138</v>
      </c>
      <c r="J42" s="37">
        <v>0.66687472791558444</v>
      </c>
      <c r="K42" s="37">
        <v>0.58612036633205644</v>
      </c>
      <c r="L42" s="37"/>
      <c r="M42" s="37"/>
      <c r="U42" s="96"/>
      <c r="V42" s="3">
        <v>10500</v>
      </c>
      <c r="W42" s="37">
        <v>0.2519955565144999</v>
      </c>
      <c r="X42" s="37">
        <v>0.16410134582648706</v>
      </c>
      <c r="Y42" s="37">
        <v>0.1142416251969381</v>
      </c>
      <c r="Z42" s="37">
        <v>8.4032875592737408E-2</v>
      </c>
      <c r="AA42" s="37">
        <v>6.4701934935071814E-2</v>
      </c>
      <c r="AB42" s="37">
        <v>5.1916545386998442E-2</v>
      </c>
      <c r="AC42" s="37">
        <v>4.3090164376252182E-2</v>
      </c>
      <c r="AD42" s="37">
        <v>3.6989104973173412E-2</v>
      </c>
      <c r="AE42" s="37">
        <v>3.345114314364496E-2</v>
      </c>
      <c r="AF42" s="37"/>
      <c r="AG42" s="37"/>
      <c r="AO42" s="96"/>
      <c r="AP42" s="3">
        <v>10500</v>
      </c>
      <c r="AQ42" s="37">
        <v>0.77765996426606732</v>
      </c>
      <c r="AR42" s="37">
        <v>0.77137129547935124</v>
      </c>
      <c r="AS42" s="37">
        <v>0.7585731184104425</v>
      </c>
      <c r="AT42" s="37">
        <v>0.74038272067582267</v>
      </c>
      <c r="AU42" s="37">
        <v>0.71865744992638869</v>
      </c>
      <c r="AV42" s="37">
        <v>0.69502700671337592</v>
      </c>
      <c r="AW42" s="37">
        <v>0.67067589028646368</v>
      </c>
      <c r="AX42" s="37">
        <v>0.64639172659751021</v>
      </c>
      <c r="AY42" s="37">
        <v>0.62266793369292051</v>
      </c>
      <c r="AZ42" s="37"/>
      <c r="BA42" s="37"/>
      <c r="BI42" s="96"/>
      <c r="BJ42" s="3">
        <v>10500</v>
      </c>
      <c r="BK42" s="67">
        <v>0</v>
      </c>
      <c r="BL42" s="67">
        <v>0</v>
      </c>
      <c r="BM42" s="67">
        <v>0</v>
      </c>
      <c r="BN42" s="67">
        <v>0</v>
      </c>
      <c r="BO42" s="67">
        <v>6.2544765260634459E-5</v>
      </c>
      <c r="BP42" s="67">
        <v>3.5750254287649169E-4</v>
      </c>
      <c r="BQ42" s="67">
        <v>7.2905262790388188E-4</v>
      </c>
      <c r="BR42" s="67">
        <v>1.3280470147660095E-3</v>
      </c>
      <c r="BS42" s="67">
        <v>2.8193757677014058E-3</v>
      </c>
      <c r="BT42" s="67"/>
      <c r="BU42" s="67"/>
      <c r="CD42" s="3"/>
      <c r="CE42" s="36"/>
      <c r="CF42" s="36"/>
      <c r="CG42" s="36"/>
      <c r="CH42" s="36"/>
      <c r="CI42" s="36"/>
      <c r="CJ42" s="36"/>
      <c r="CK42" s="36"/>
      <c r="CL42" s="36"/>
      <c r="CM42" s="36"/>
    </row>
    <row r="43" spans="1:91" x14ac:dyDescent="0.25">
      <c r="A43" s="96"/>
      <c r="B43" s="3">
        <v>11000</v>
      </c>
      <c r="C43" s="37">
        <v>2.3231746864938598</v>
      </c>
      <c r="D43" s="37">
        <v>1.8355948140198399</v>
      </c>
      <c r="E43" s="37">
        <v>1.4868317993560702</v>
      </c>
      <c r="F43" s="37">
        <v>1.2287866110380745</v>
      </c>
      <c r="G43" s="37">
        <v>1.0325220828861599</v>
      </c>
      <c r="H43" s="37">
        <v>0.87978212979649117</v>
      </c>
      <c r="I43" s="37">
        <v>0.75858765273268902</v>
      </c>
      <c r="J43" s="37">
        <v>0.66081413304714243</v>
      </c>
      <c r="K43" s="37">
        <v>0.58079367162346496</v>
      </c>
      <c r="L43" s="37"/>
      <c r="M43" s="37"/>
      <c r="U43" s="96"/>
      <c r="V43" s="3">
        <v>11000</v>
      </c>
      <c r="W43" s="37">
        <v>0.24771053077877264</v>
      </c>
      <c r="X43" s="37">
        <v>0.16140441621234494</v>
      </c>
      <c r="Y43" s="37">
        <v>0.1124423165165948</v>
      </c>
      <c r="Z43" s="37">
        <v>8.2773729539500726E-2</v>
      </c>
      <c r="AA43" s="37">
        <v>6.3786017750439197E-2</v>
      </c>
      <c r="AB43" s="37">
        <v>5.1228957790018258E-2</v>
      </c>
      <c r="AC43" s="37">
        <v>4.2560405445931447E-2</v>
      </c>
      <c r="AD43" s="37">
        <v>3.6572002948184426E-2</v>
      </c>
      <c r="AE43" s="37">
        <v>3.3116665810281089E-2</v>
      </c>
      <c r="AF43" s="37"/>
      <c r="AG43" s="37"/>
      <c r="AO43" s="96"/>
      <c r="AP43" s="3">
        <v>11000</v>
      </c>
      <c r="AQ43" s="37">
        <v>0.77765996426606732</v>
      </c>
      <c r="AR43" s="37">
        <v>0.77137129547935124</v>
      </c>
      <c r="AS43" s="37">
        <v>0.7585731184104425</v>
      </c>
      <c r="AT43" s="37">
        <v>0.74038272067582267</v>
      </c>
      <c r="AU43" s="37">
        <v>0.71865744992638869</v>
      </c>
      <c r="AV43" s="37">
        <v>0.69502700671337592</v>
      </c>
      <c r="AW43" s="37">
        <v>0.67067589028646368</v>
      </c>
      <c r="AX43" s="37">
        <v>0.64639172659751021</v>
      </c>
      <c r="AY43" s="37">
        <v>0.62266793369292051</v>
      </c>
      <c r="AZ43" s="37"/>
      <c r="BA43" s="37"/>
      <c r="BI43" s="96"/>
      <c r="BJ43" s="3">
        <v>11000</v>
      </c>
      <c r="BK43" s="67">
        <v>0</v>
      </c>
      <c r="BL43" s="67">
        <v>0</v>
      </c>
      <c r="BM43" s="67">
        <v>0</v>
      </c>
      <c r="BN43" s="67">
        <v>0</v>
      </c>
      <c r="BO43" s="67">
        <v>6.2544765260634459E-5</v>
      </c>
      <c r="BP43" s="67">
        <v>3.5750254287649169E-4</v>
      </c>
      <c r="BQ43" s="67">
        <v>7.2905262790388188E-4</v>
      </c>
      <c r="BR43" s="67">
        <v>1.3280470147660095E-3</v>
      </c>
      <c r="BS43" s="67">
        <v>2.8193757677014058E-3</v>
      </c>
      <c r="BT43" s="67"/>
      <c r="BU43" s="67"/>
      <c r="CD43" s="3"/>
      <c r="CE43" s="36"/>
      <c r="CF43" s="36"/>
      <c r="CG43" s="36"/>
      <c r="CH43" s="36"/>
      <c r="CI43" s="36"/>
      <c r="CJ43" s="36"/>
      <c r="CK43" s="36"/>
      <c r="CL43" s="36"/>
      <c r="CM43" s="36"/>
    </row>
    <row r="44" spans="1:91" x14ac:dyDescent="0.25">
      <c r="A44" s="96"/>
      <c r="B44" s="3">
        <v>11500</v>
      </c>
      <c r="C44" s="37">
        <v>2.5137580790704974</v>
      </c>
      <c r="D44" s="37">
        <v>1.9861792229692823</v>
      </c>
      <c r="E44" s="37">
        <v>1.6088051706051187</v>
      </c>
      <c r="F44" s="37">
        <v>1.3295910500868748</v>
      </c>
      <c r="G44" s="37">
        <v>1.1172258129202213</v>
      </c>
      <c r="H44" s="37">
        <v>0.95195572225154956</v>
      </c>
      <c r="I44" s="37">
        <v>0.82081896459444847</v>
      </c>
      <c r="J44" s="37">
        <v>0.7150245202689417</v>
      </c>
      <c r="K44" s="37">
        <v>0.62843951976762435</v>
      </c>
      <c r="L44" s="37"/>
      <c r="M44" s="37"/>
      <c r="U44" s="96"/>
      <c r="V44" s="3">
        <v>11500</v>
      </c>
      <c r="W44" s="37">
        <v>0.28742894357704002</v>
      </c>
      <c r="X44" s="37">
        <v>0.18640257732238197</v>
      </c>
      <c r="Y44" s="37">
        <v>0.12912032251350647</v>
      </c>
      <c r="Z44" s="37">
        <v>9.4444903950142739E-2</v>
      </c>
      <c r="AA44" s="37">
        <v>7.2275762986961159E-2</v>
      </c>
      <c r="AB44" s="37">
        <v>5.7602288942763806E-2</v>
      </c>
      <c r="AC44" s="37">
        <v>4.7470803930265371E-2</v>
      </c>
      <c r="AD44" s="37">
        <v>4.0438171188290434E-2</v>
      </c>
      <c r="AE44" s="37">
        <v>3.6216975964183905E-2</v>
      </c>
      <c r="AF44" s="37"/>
      <c r="AG44" s="37"/>
      <c r="AO44" s="96"/>
      <c r="AP44" s="3">
        <v>11500</v>
      </c>
      <c r="AQ44" s="37">
        <v>0.77765996426606732</v>
      </c>
      <c r="AR44" s="37">
        <v>0.77137129547935124</v>
      </c>
      <c r="AS44" s="37">
        <v>0.7585731184104425</v>
      </c>
      <c r="AT44" s="37">
        <v>0.74038272067582267</v>
      </c>
      <c r="AU44" s="37">
        <v>0.71865744992638869</v>
      </c>
      <c r="AV44" s="37">
        <v>0.69502700671337592</v>
      </c>
      <c r="AW44" s="37">
        <v>0.67067589028646368</v>
      </c>
      <c r="AX44" s="37">
        <v>0.64639172659751021</v>
      </c>
      <c r="AY44" s="37">
        <v>0.62266793369292051</v>
      </c>
      <c r="AZ44" s="37"/>
      <c r="BA44" s="37"/>
      <c r="BI44" s="96"/>
      <c r="BJ44" s="3">
        <v>11500</v>
      </c>
      <c r="BK44" s="67">
        <v>0</v>
      </c>
      <c r="BL44" s="67">
        <v>0</v>
      </c>
      <c r="BM44" s="67">
        <v>0</v>
      </c>
      <c r="BN44" s="67">
        <v>0</v>
      </c>
      <c r="BO44" s="67">
        <v>6.2544765260634459E-5</v>
      </c>
      <c r="BP44" s="67">
        <v>3.5750254287649169E-4</v>
      </c>
      <c r="BQ44" s="67">
        <v>7.2905262790388188E-4</v>
      </c>
      <c r="BR44" s="67">
        <v>1.3280470147660095E-3</v>
      </c>
      <c r="BS44" s="67">
        <v>2.8193757677014058E-3</v>
      </c>
      <c r="BT44" s="67"/>
      <c r="BU44" s="67"/>
      <c r="CD44" s="3"/>
      <c r="CE44" s="36"/>
      <c r="CF44" s="36"/>
      <c r="CG44" s="36"/>
      <c r="CH44" s="36"/>
      <c r="CI44" s="36"/>
      <c r="CJ44" s="36"/>
      <c r="CK44" s="36"/>
      <c r="CL44" s="36"/>
      <c r="CM44" s="36"/>
    </row>
    <row r="45" spans="1:91" x14ac:dyDescent="0.25">
      <c r="A45" s="96"/>
      <c r="B45" s="3">
        <v>12000</v>
      </c>
      <c r="C45" s="37">
        <v>2.7199761244079395</v>
      </c>
      <c r="D45" s="37">
        <v>2.1491169378038051</v>
      </c>
      <c r="E45" s="37">
        <v>1.7407847196210819</v>
      </c>
      <c r="F45" s="37">
        <v>1.4386650575380842</v>
      </c>
      <c r="G45" s="37">
        <v>1.2088782775146398</v>
      </c>
      <c r="H45" s="37">
        <v>1.0300501299533029</v>
      </c>
      <c r="I45" s="37">
        <v>0.88815546919442967</v>
      </c>
      <c r="J45" s="37">
        <v>0.77368209760936979</v>
      </c>
      <c r="K45" s="37">
        <v>0.67999403110198486</v>
      </c>
      <c r="L45" s="37"/>
      <c r="M45" s="37"/>
      <c r="U45" s="96"/>
      <c r="V45" s="3">
        <v>12000</v>
      </c>
      <c r="W45" s="37">
        <v>0.33393131601538223</v>
      </c>
      <c r="X45" s="37">
        <v>0.21567045879883756</v>
      </c>
      <c r="Y45" s="37">
        <v>0.14864695491788901</v>
      </c>
      <c r="Z45" s="37">
        <v>0.10810953103363485</v>
      </c>
      <c r="AA45" s="37">
        <v>8.2215568409211209E-2</v>
      </c>
      <c r="AB45" s="37">
        <v>6.5064193839194859E-2</v>
      </c>
      <c r="AC45" s="37">
        <v>5.3219905242519419E-2</v>
      </c>
      <c r="AD45" s="37">
        <v>4.4964686291596445E-2</v>
      </c>
      <c r="AE45" s="37">
        <v>3.9846823364769149E-2</v>
      </c>
      <c r="AF45" s="37"/>
      <c r="AG45" s="37"/>
      <c r="AO45" s="96"/>
      <c r="AP45" s="3">
        <v>12000</v>
      </c>
      <c r="AQ45" s="37">
        <v>0.77765996426606732</v>
      </c>
      <c r="AR45" s="37">
        <v>0.77137129547935124</v>
      </c>
      <c r="AS45" s="37">
        <v>0.7585731184104425</v>
      </c>
      <c r="AT45" s="37">
        <v>0.74038272067582267</v>
      </c>
      <c r="AU45" s="37">
        <v>0.71865744992638869</v>
      </c>
      <c r="AV45" s="37">
        <v>0.69502700671337592</v>
      </c>
      <c r="AW45" s="37">
        <v>0.67067589028646368</v>
      </c>
      <c r="AX45" s="37">
        <v>0.64639172659751021</v>
      </c>
      <c r="AY45" s="37">
        <v>0.62266793369292051</v>
      </c>
      <c r="AZ45" s="37"/>
      <c r="BA45" s="37"/>
      <c r="BI45" s="96"/>
      <c r="BJ45" s="3">
        <v>12000</v>
      </c>
      <c r="BK45" s="67">
        <v>0</v>
      </c>
      <c r="BL45" s="67">
        <v>0</v>
      </c>
      <c r="BM45" s="67">
        <v>0</v>
      </c>
      <c r="BN45" s="67">
        <v>0</v>
      </c>
      <c r="BO45" s="67">
        <v>6.2544765260634459E-5</v>
      </c>
      <c r="BP45" s="67">
        <v>3.5750254287649169E-4</v>
      </c>
      <c r="BQ45" s="67">
        <v>7.2905262790388188E-4</v>
      </c>
      <c r="BR45" s="67">
        <v>1.3280470147660095E-3</v>
      </c>
      <c r="BS45" s="67">
        <v>2.8193757677014058E-3</v>
      </c>
      <c r="BT45" s="67"/>
      <c r="BU45" s="67"/>
      <c r="CD45" s="3"/>
      <c r="CE45" s="36"/>
      <c r="CF45" s="36"/>
      <c r="CG45" s="36"/>
      <c r="CH45" s="36"/>
      <c r="CI45" s="36"/>
      <c r="CJ45" s="36"/>
      <c r="CK45" s="36"/>
      <c r="CL45" s="36"/>
      <c r="CM45" s="36"/>
    </row>
    <row r="46" spans="1:91" x14ac:dyDescent="0.25">
      <c r="A46" s="96"/>
      <c r="B46" s="3">
        <v>12500</v>
      </c>
      <c r="C46" s="37">
        <v>2.943111423070937</v>
      </c>
      <c r="D46" s="37">
        <v>2.3254213713153087</v>
      </c>
      <c r="E46" s="37">
        <v>1.8835913107653999</v>
      </c>
      <c r="F46" s="37">
        <v>1.5566870336904128</v>
      </c>
      <c r="G46" s="37">
        <v>1.3080495213648609</v>
      </c>
      <c r="H46" s="37">
        <v>1.1145510714588163</v>
      </c>
      <c r="I46" s="37">
        <v>0.96101597488030621</v>
      </c>
      <c r="J46" s="37">
        <v>0.83715169367351117</v>
      </c>
      <c r="K46" s="37">
        <v>0.73577785576773425</v>
      </c>
      <c r="L46" s="37"/>
      <c r="M46" s="37"/>
      <c r="U46" s="96"/>
      <c r="V46" s="3">
        <v>12500</v>
      </c>
      <c r="W46" s="37">
        <v>0.38837635774898904</v>
      </c>
      <c r="X46" s="37">
        <v>0.24993733476420235</v>
      </c>
      <c r="Y46" s="37">
        <v>0.17150876304570034</v>
      </c>
      <c r="Z46" s="37">
        <v>0.12410809525358585</v>
      </c>
      <c r="AA46" s="37">
        <v>9.3853106295173502E-2</v>
      </c>
      <c r="AB46" s="37">
        <v>7.3800602374846633E-2</v>
      </c>
      <c r="AC46" s="37">
        <v>5.9950960981480395E-2</v>
      </c>
      <c r="AD46" s="37">
        <v>5.0264336412330843E-2</v>
      </c>
      <c r="AE46" s="37">
        <v>4.4096653703501291E-2</v>
      </c>
      <c r="AF46" s="37"/>
      <c r="AG46" s="37"/>
      <c r="AO46" s="96"/>
      <c r="AP46" s="3">
        <v>12500</v>
      </c>
      <c r="AQ46" s="37">
        <v>0.77765996426606732</v>
      </c>
      <c r="AR46" s="37">
        <v>0.77137129547935124</v>
      </c>
      <c r="AS46" s="37">
        <v>0.7585731184104425</v>
      </c>
      <c r="AT46" s="37">
        <v>0.74038272067582267</v>
      </c>
      <c r="AU46" s="37">
        <v>0.71865744992638869</v>
      </c>
      <c r="AV46" s="37">
        <v>0.69502700671337592</v>
      </c>
      <c r="AW46" s="37">
        <v>0.67067589028646368</v>
      </c>
      <c r="AX46" s="37">
        <v>0.64639172659751021</v>
      </c>
      <c r="AY46" s="37">
        <v>0.62266793369292051</v>
      </c>
      <c r="AZ46" s="37"/>
      <c r="BA46" s="37"/>
      <c r="BI46" s="96"/>
      <c r="BJ46" s="3">
        <v>12500</v>
      </c>
      <c r="BK46" s="67">
        <v>0</v>
      </c>
      <c r="BL46" s="67">
        <v>0</v>
      </c>
      <c r="BM46" s="67">
        <v>0</v>
      </c>
      <c r="BN46" s="67">
        <v>0</v>
      </c>
      <c r="BO46" s="67">
        <v>6.2544765260634459E-5</v>
      </c>
      <c r="BP46" s="67">
        <v>3.5750254287649169E-4</v>
      </c>
      <c r="BQ46" s="67">
        <v>7.2905262790388188E-4</v>
      </c>
      <c r="BR46" s="67">
        <v>1.3280470147660095E-3</v>
      </c>
      <c r="BS46" s="67">
        <v>2.8193757677014058E-3</v>
      </c>
      <c r="BT46" s="67"/>
      <c r="BU46" s="67"/>
      <c r="CD46" s="3"/>
      <c r="CE46" s="36"/>
      <c r="CF46" s="36"/>
      <c r="CG46" s="36"/>
      <c r="CH46" s="36"/>
      <c r="CI46" s="36"/>
      <c r="CJ46" s="36"/>
      <c r="CK46" s="36"/>
      <c r="CL46" s="36"/>
      <c r="CM46" s="36"/>
    </row>
    <row r="47" spans="1:91" s="1" customFormat="1" x14ac:dyDescent="0.25">
      <c r="B47" s="24"/>
      <c r="T47" s="33"/>
      <c r="CB47" s="19"/>
    </row>
    <row r="48" spans="1:91" s="1" customFormat="1" x14ac:dyDescent="0.25">
      <c r="T48" s="33"/>
      <c r="CB48" s="19"/>
    </row>
    <row r="49" spans="1:73" x14ac:dyDescent="0.25">
      <c r="A49" s="22" t="s">
        <v>452</v>
      </c>
      <c r="U49" s="30" t="s">
        <v>463</v>
      </c>
      <c r="W49" s="30"/>
      <c r="X49" s="30"/>
      <c r="Y49" s="30"/>
      <c r="Z49" s="30"/>
      <c r="AA49" s="30"/>
      <c r="AB49" s="30"/>
      <c r="AC49" s="30"/>
      <c r="AD49" s="30"/>
      <c r="AE49" s="30"/>
      <c r="AO49" s="22" t="s">
        <v>203</v>
      </c>
      <c r="BI49" s="22" t="s">
        <v>431</v>
      </c>
    </row>
    <row r="50" spans="1:73" x14ac:dyDescent="0.25">
      <c r="C50" s="97" t="s">
        <v>174</v>
      </c>
      <c r="D50" s="97"/>
      <c r="E50" s="97"/>
      <c r="F50" s="97"/>
      <c r="G50" s="97"/>
      <c r="H50" s="97"/>
      <c r="I50" s="97"/>
      <c r="J50" s="97"/>
      <c r="K50" s="97"/>
      <c r="L50" s="32"/>
      <c r="W50" s="97" t="s">
        <v>174</v>
      </c>
      <c r="X50" s="97"/>
      <c r="Y50" s="97"/>
      <c r="Z50" s="97"/>
      <c r="AA50" s="97"/>
      <c r="AB50" s="97"/>
      <c r="AC50" s="97"/>
      <c r="AD50" s="97"/>
      <c r="AE50" s="97"/>
      <c r="AF50" s="32"/>
      <c r="AG50" s="29"/>
      <c r="AH50" s="29"/>
      <c r="AQ50" s="97" t="s">
        <v>174</v>
      </c>
      <c r="AR50" s="97"/>
      <c r="AS50" s="97"/>
      <c r="AT50" s="97"/>
      <c r="AU50" s="97"/>
      <c r="AV50" s="97"/>
      <c r="AW50" s="97"/>
      <c r="AX50" s="97"/>
      <c r="AY50" s="97"/>
      <c r="AZ50" s="32"/>
      <c r="BK50" s="97" t="s">
        <v>174</v>
      </c>
      <c r="BL50" s="97"/>
      <c r="BM50" s="97"/>
      <c r="BN50" s="97"/>
      <c r="BO50" s="97"/>
      <c r="BP50" s="97"/>
      <c r="BQ50" s="97"/>
      <c r="BR50" s="97"/>
      <c r="BS50" s="97"/>
      <c r="BT50" s="85"/>
    </row>
    <row r="51" spans="1:73" ht="14.25" customHeight="1" x14ac:dyDescent="0.25">
      <c r="C51" s="3">
        <v>0.4</v>
      </c>
      <c r="D51" s="3">
        <v>0.45</v>
      </c>
      <c r="E51" s="3">
        <v>0.5</v>
      </c>
      <c r="F51" s="3">
        <v>0.55000000000000004</v>
      </c>
      <c r="G51" s="3">
        <v>0.6</v>
      </c>
      <c r="H51" s="3">
        <v>0.65</v>
      </c>
      <c r="I51" s="3">
        <v>0.7</v>
      </c>
      <c r="J51" s="3">
        <v>0.75</v>
      </c>
      <c r="K51" s="3">
        <v>0.8</v>
      </c>
      <c r="L51" s="3">
        <v>0.85</v>
      </c>
      <c r="M51" s="3">
        <v>0.9</v>
      </c>
      <c r="U51" s="83"/>
      <c r="W51" s="3">
        <v>0.4</v>
      </c>
      <c r="X51" s="3">
        <v>0.45</v>
      </c>
      <c r="Y51" s="3">
        <v>0.5</v>
      </c>
      <c r="Z51" s="3">
        <v>0.55000000000000004</v>
      </c>
      <c r="AA51" s="3">
        <v>0.6</v>
      </c>
      <c r="AB51" s="3">
        <v>0.65</v>
      </c>
      <c r="AC51" s="3">
        <v>0.7</v>
      </c>
      <c r="AD51" s="3">
        <v>0.75</v>
      </c>
      <c r="AE51" s="3">
        <v>0.8</v>
      </c>
      <c r="AF51" s="3">
        <v>0.85</v>
      </c>
      <c r="AG51" s="3">
        <v>0.9</v>
      </c>
      <c r="AH51" s="3"/>
      <c r="AQ51" s="3">
        <v>0.4</v>
      </c>
      <c r="AR51" s="3">
        <v>0.45</v>
      </c>
      <c r="AS51" s="3">
        <v>0.5</v>
      </c>
      <c r="AT51" s="3">
        <v>0.55000000000000004</v>
      </c>
      <c r="AU51" s="3">
        <v>0.6</v>
      </c>
      <c r="AV51" s="3">
        <v>0.65</v>
      </c>
      <c r="AW51" s="3">
        <v>0.7</v>
      </c>
      <c r="AX51" s="3">
        <v>0.75</v>
      </c>
      <c r="AY51" s="3">
        <v>0.8</v>
      </c>
      <c r="AZ51" s="3">
        <v>0.85</v>
      </c>
      <c r="BA51" s="3">
        <v>0.9</v>
      </c>
      <c r="BK51" s="3">
        <v>0.4</v>
      </c>
      <c r="BL51" s="3">
        <v>0.45</v>
      </c>
      <c r="BM51" s="3">
        <v>0.5</v>
      </c>
      <c r="BN51" s="3">
        <v>0.55000000000000004</v>
      </c>
      <c r="BO51" s="3">
        <v>0.6</v>
      </c>
      <c r="BP51" s="3">
        <v>0.65</v>
      </c>
      <c r="BQ51" s="3">
        <v>0.7</v>
      </c>
      <c r="BR51" s="3">
        <v>0.75</v>
      </c>
      <c r="BS51" s="3">
        <v>0.8</v>
      </c>
      <c r="BT51" s="3">
        <v>0.85</v>
      </c>
      <c r="BU51" s="3">
        <v>0.9</v>
      </c>
    </row>
    <row r="52" spans="1:73" ht="14.25" customHeight="1" x14ac:dyDescent="0.25">
      <c r="A52" s="96" t="s">
        <v>175</v>
      </c>
      <c r="B52" s="3">
        <v>3000</v>
      </c>
      <c r="C52" s="64">
        <v>8.0500230191675039E-5</v>
      </c>
      <c r="D52" s="64">
        <v>7.2550559606110584E-5</v>
      </c>
      <c r="E52" s="64">
        <v>6.9493139459852189E-5</v>
      </c>
      <c r="F52" s="64">
        <v>6.9376197957559221E-5</v>
      </c>
      <c r="G52" s="64">
        <v>7.1404580947204605E-5</v>
      </c>
      <c r="H52" s="64">
        <v>7.5867469740579602E-5</v>
      </c>
      <c r="I52" s="64">
        <v>8.2261418203650411E-5</v>
      </c>
      <c r="J52" s="64">
        <v>9.1615863549513428E-5</v>
      </c>
      <c r="K52" s="64">
        <v>1.0894854296889733E-4</v>
      </c>
      <c r="L52" s="64"/>
      <c r="M52" s="17"/>
      <c r="O52" t="s">
        <v>176</v>
      </c>
      <c r="P52" s="17">
        <f>MIN(C52:L71)</f>
        <v>6.6344018069140816E-5</v>
      </c>
      <c r="U52" s="96" t="s">
        <v>175</v>
      </c>
      <c r="V52" s="3">
        <v>3000</v>
      </c>
      <c r="W52" s="39">
        <v>1.0827465899786852E-5</v>
      </c>
      <c r="X52" s="39">
        <v>1.1499648682623881E-5</v>
      </c>
      <c r="Y52" s="39">
        <v>1.2232242917348233E-5</v>
      </c>
      <c r="Z52" s="39">
        <v>1.303532527415145E-5</v>
      </c>
      <c r="AA52" s="39">
        <v>1.3921815280854049E-5</v>
      </c>
      <c r="AB52" s="39">
        <v>1.4908543234622858E-5</v>
      </c>
      <c r="AC52" s="39">
        <v>1.6017827323055152E-5</v>
      </c>
      <c r="AD52" s="39">
        <v>1.7279870333871709E-5</v>
      </c>
      <c r="AE52" s="39">
        <v>1.8736523456374693E-5</v>
      </c>
      <c r="AF52" s="39"/>
      <c r="AG52" s="64"/>
      <c r="AH52" s="3"/>
      <c r="AO52" s="96" t="s">
        <v>175</v>
      </c>
      <c r="AP52" s="3">
        <v>3000</v>
      </c>
      <c r="AQ52" s="62">
        <v>18.588252954150818</v>
      </c>
      <c r="AR52" s="62">
        <v>19.471533453040369</v>
      </c>
      <c r="AS52" s="62">
        <v>19.460904589570028</v>
      </c>
      <c r="AT52" s="62">
        <v>18.885024413934268</v>
      </c>
      <c r="AU52" s="62">
        <v>17.963353016840237</v>
      </c>
      <c r="AV52" s="62">
        <v>16.712257367400479</v>
      </c>
      <c r="AW52" s="62">
        <v>15.377234514627332</v>
      </c>
      <c r="AX52" s="62">
        <v>13.902003680212987</v>
      </c>
      <c r="AY52" s="62">
        <v>11.883557183978628</v>
      </c>
      <c r="AZ52" s="62"/>
      <c r="BA52" s="4"/>
      <c r="BI52" s="96" t="s">
        <v>175</v>
      </c>
      <c r="BJ52" s="3">
        <v>3000</v>
      </c>
      <c r="BK52" s="63">
        <f t="shared" ref="BK52:BK71" si="0">IF((C52-$P$52)/$P$54&gt;=0,(C52-$P$52)/$P$54,"")</f>
        <v>9.1733676227881256E-2</v>
      </c>
      <c r="BL52" s="63">
        <f t="shared" ref="BL52:BL71" si="1">IF((D52-$P$52)/$P$54&gt;=0,(D52-$P$52)/$P$54,"")</f>
        <v>4.0219012467394226E-2</v>
      </c>
      <c r="BM52" s="63">
        <f t="shared" ref="BM52:BM71" si="2">IF((E52-$P$52)/$P$54&gt;=0,(E52-$P$52)/$P$54,"")</f>
        <v>2.0406622870390929E-2</v>
      </c>
      <c r="BN52" s="63">
        <f t="shared" ref="BN52:BN71" si="3">IF((F52-$P$52)/$P$54&gt;=0,(F52-$P$52)/$P$54,"")</f>
        <v>1.9648830191382617E-2</v>
      </c>
      <c r="BO52" s="63">
        <f t="shared" ref="BO52:BO71" si="4">IF((G52-$P$52)/$P$54&gt;=0,(G52-$P$52)/$P$54,"")</f>
        <v>3.2792955669841563E-2</v>
      </c>
      <c r="BP52" s="63">
        <f t="shared" ref="BP52:BP71" si="5">IF((H52-$P$52)/$P$54&gt;=0,(H52-$P$52)/$P$54,"")</f>
        <v>6.1712923247949025E-2</v>
      </c>
      <c r="BQ52" s="63">
        <f t="shared" ref="BQ52:BQ71" si="6">IF((I52-$P$52)/$P$54&gt;=0,(I52-$P$52)/$P$54,"")</f>
        <v>0.10314635141729854</v>
      </c>
      <c r="BR52" s="63">
        <f t="shared" ref="BR52:BR71" si="7">IF((J52-$P$52)/$P$54&gt;=0,(J52-$P$52)/$P$54,"")</f>
        <v>0.16376409670262349</v>
      </c>
      <c r="BS52" s="63">
        <f t="shared" ref="BS52:BS71" si="8">IF((K52-$P$52)/$P$54&gt;=0,(K52-$P$52)/$P$54,"")</f>
        <v>0.27608160001895454</v>
      </c>
      <c r="BT52" s="63" t="str">
        <f t="shared" ref="BT52:BU71" si="9">IF((L52-$P$52)/$P$54&gt;=0,(L52-$P$52)/$P$54,"")</f>
        <v/>
      </c>
      <c r="BU52" s="63" t="str">
        <f t="shared" si="9"/>
        <v/>
      </c>
    </row>
    <row r="53" spans="1:73" x14ac:dyDescent="0.25">
      <c r="A53" s="96"/>
      <c r="B53" s="3">
        <v>3500</v>
      </c>
      <c r="C53" s="64">
        <v>8.2765686909121595E-5</v>
      </c>
      <c r="D53" s="64">
        <v>7.3507838689222291E-5</v>
      </c>
      <c r="E53" s="64">
        <v>6.9473257252151388E-5</v>
      </c>
      <c r="F53" s="64">
        <v>6.8562005184072666E-5</v>
      </c>
      <c r="G53" s="64">
        <v>6.9878595280172714E-5</v>
      </c>
      <c r="H53" s="64">
        <v>7.3605521035395436E-5</v>
      </c>
      <c r="I53" s="64">
        <v>7.9209749009647674E-5</v>
      </c>
      <c r="J53" s="64">
        <v>8.7607402525054822E-5</v>
      </c>
      <c r="K53" s="64">
        <v>1.0342880576500349E-4</v>
      </c>
      <c r="L53" s="64"/>
      <c r="M53" s="17"/>
      <c r="O53" t="s">
        <v>177</v>
      </c>
      <c r="P53" s="17">
        <f>MAX(C52:L71)</f>
        <v>2.2066261408144831E-4</v>
      </c>
      <c r="U53" s="96"/>
      <c r="V53" s="3">
        <v>3500</v>
      </c>
      <c r="W53" s="39">
        <v>1.0826946235894102E-5</v>
      </c>
      <c r="X53" s="39">
        <v>1.1488126861073083E-5</v>
      </c>
      <c r="Y53" s="39">
        <v>1.2207307802554329E-5</v>
      </c>
      <c r="Z53" s="39">
        <v>1.2993901139218095E-5</v>
      </c>
      <c r="AA53" s="39">
        <v>1.385991099842432E-5</v>
      </c>
      <c r="AB53" s="39">
        <v>1.4820882036440618E-5</v>
      </c>
      <c r="AC53" s="39">
        <v>1.589728694581748E-5</v>
      </c>
      <c r="AD53" s="39">
        <v>1.7116612318342867E-5</v>
      </c>
      <c r="AE53" s="39">
        <v>1.8516593661567378E-5</v>
      </c>
      <c r="AF53" s="39"/>
      <c r="AG53" s="64"/>
      <c r="AH53" s="3"/>
      <c r="AO53" s="96"/>
      <c r="AP53" s="3">
        <v>3500</v>
      </c>
      <c r="AQ53" s="62">
        <v>18.188944216413717</v>
      </c>
      <c r="AR53" s="62">
        <v>19.315897019278871</v>
      </c>
      <c r="AS53" s="62">
        <v>19.545377178406923</v>
      </c>
      <c r="AT53" s="62">
        <v>19.164839393592107</v>
      </c>
      <c r="AU53" s="62">
        <v>18.385559514005863</v>
      </c>
      <c r="AV53" s="62">
        <v>17.229081629278081</v>
      </c>
      <c r="AW53" s="62">
        <v>15.946235077594471</v>
      </c>
      <c r="AX53" s="62">
        <v>14.488638368809557</v>
      </c>
      <c r="AY53" s="62">
        <v>12.446333252405955</v>
      </c>
      <c r="AZ53" s="62"/>
      <c r="BA53" s="4"/>
      <c r="BI53" s="96"/>
      <c r="BJ53" s="3">
        <v>3500</v>
      </c>
      <c r="BK53" s="63">
        <f t="shared" si="0"/>
        <v>0.1064140632712281</v>
      </c>
      <c r="BL53" s="63">
        <f t="shared" si="1"/>
        <v>4.6422277063161807E-2</v>
      </c>
      <c r="BM53" s="63">
        <f t="shared" si="2"/>
        <v>2.0277784167768112E-2</v>
      </c>
      <c r="BN53" s="63">
        <f t="shared" si="3"/>
        <v>1.4372779251795142E-2</v>
      </c>
      <c r="BO53" s="63">
        <f t="shared" si="4"/>
        <v>2.2904415296455923E-2</v>
      </c>
      <c r="BP53" s="63">
        <f t="shared" si="5"/>
        <v>4.7055268476363585E-2</v>
      </c>
      <c r="BQ53" s="63">
        <f t="shared" si="6"/>
        <v>8.3371228568466016E-2</v>
      </c>
      <c r="BR53" s="63">
        <f t="shared" si="7"/>
        <v>0.13778886670416682</v>
      </c>
      <c r="BS53" s="63">
        <f t="shared" si="8"/>
        <v>0.24031314860397654</v>
      </c>
      <c r="BT53" s="63" t="str">
        <f t="shared" si="9"/>
        <v/>
      </c>
      <c r="BU53" s="63" t="str">
        <f t="shared" si="9"/>
        <v/>
      </c>
    </row>
    <row r="54" spans="1:73" x14ac:dyDescent="0.25">
      <c r="A54" s="96"/>
      <c r="B54" s="3">
        <v>4000</v>
      </c>
      <c r="C54" s="64">
        <v>8.5435643570124951E-5</v>
      </c>
      <c r="D54" s="64">
        <v>7.4799727854367462E-5</v>
      </c>
      <c r="E54" s="64">
        <v>6.9752011204851316E-5</v>
      </c>
      <c r="F54" s="64">
        <v>6.8031749026739057E-5</v>
      </c>
      <c r="G54" s="64">
        <v>6.8637497968133159E-5</v>
      </c>
      <c r="H54" s="64">
        <v>7.1645190429608384E-5</v>
      </c>
      <c r="I54" s="64">
        <v>7.6491586813398353E-5</v>
      </c>
      <c r="J54" s="64">
        <v>8.3986241274286403E-5</v>
      </c>
      <c r="K54" s="64">
        <v>9.8400186451215083E-5</v>
      </c>
      <c r="L54" s="64"/>
      <c r="M54" s="17"/>
      <c r="O54" t="s">
        <v>178</v>
      </c>
      <c r="P54" s="17">
        <f>P53-P52</f>
        <v>1.5431859601230751E-4</v>
      </c>
      <c r="U54" s="96"/>
      <c r="V54" s="3">
        <v>4000</v>
      </c>
      <c r="W54" s="39">
        <v>1.0826976660148079E-5</v>
      </c>
      <c r="X54" s="39">
        <v>1.1477502895386374E-5</v>
      </c>
      <c r="Y54" s="39">
        <v>1.2183749196966496E-5</v>
      </c>
      <c r="Z54" s="39">
        <v>1.2954515461125482E-5</v>
      </c>
      <c r="AA54" s="39">
        <v>1.3800968265712153E-5</v>
      </c>
      <c r="AB54" s="39">
        <v>1.4737484834392185E-5</v>
      </c>
      <c r="AC54" s="39">
        <v>1.5782876402096659E-5</v>
      </c>
      <c r="AD54" s="39">
        <v>1.6962208308372665E-5</v>
      </c>
      <c r="AE54" s="39">
        <v>1.8309589347032832E-5</v>
      </c>
      <c r="AF54" s="39"/>
      <c r="AG54" s="64"/>
      <c r="AH54" s="3"/>
      <c r="AO54" s="96"/>
      <c r="AP54" s="3">
        <v>4000</v>
      </c>
      <c r="AQ54" s="62">
        <v>17.729458369566593</v>
      </c>
      <c r="AR54" s="62">
        <v>19.081927158080504</v>
      </c>
      <c r="AS54" s="62">
        <v>19.549766108591108</v>
      </c>
      <c r="AT54" s="62">
        <v>19.374664999975124</v>
      </c>
      <c r="AU54" s="62">
        <v>18.753581372258704</v>
      </c>
      <c r="AV54" s="62">
        <v>17.709664239924223</v>
      </c>
      <c r="AW54" s="62">
        <v>16.495360042388022</v>
      </c>
      <c r="AX54" s="62">
        <v>15.06955187818826</v>
      </c>
      <c r="AY54" s="62">
        <v>13.016075222273013</v>
      </c>
      <c r="AZ54" s="62"/>
      <c r="BA54" s="4"/>
      <c r="BI54" s="96"/>
      <c r="BJ54" s="3">
        <v>4000</v>
      </c>
      <c r="BK54" s="63">
        <f t="shared" si="0"/>
        <v>0.12371565057176585</v>
      </c>
      <c r="BL54" s="63">
        <f t="shared" si="1"/>
        <v>5.4793848594580724E-2</v>
      </c>
      <c r="BM54" s="63">
        <f t="shared" si="2"/>
        <v>2.2084137775843293E-2</v>
      </c>
      <c r="BN54" s="63">
        <f t="shared" si="3"/>
        <v>1.0936666099940658E-2</v>
      </c>
      <c r="BO54" s="63">
        <f t="shared" si="4"/>
        <v>1.4861980074063336E-2</v>
      </c>
      <c r="BP54" s="63">
        <f t="shared" si="5"/>
        <v>3.4352129279641576E-2</v>
      </c>
      <c r="BQ54" s="63">
        <f t="shared" si="6"/>
        <v>6.5757264558370068E-2</v>
      </c>
      <c r="BR54" s="63">
        <f t="shared" si="7"/>
        <v>0.11432337813479428</v>
      </c>
      <c r="BS54" s="63">
        <f t="shared" si="8"/>
        <v>0.2077271904386537</v>
      </c>
      <c r="BT54" s="63" t="str">
        <f t="shared" si="9"/>
        <v/>
      </c>
      <c r="BU54" s="63" t="str">
        <f t="shared" si="9"/>
        <v/>
      </c>
    </row>
    <row r="55" spans="1:73" x14ac:dyDescent="0.25">
      <c r="A55" s="96"/>
      <c r="B55" s="3">
        <v>4500</v>
      </c>
      <c r="C55" s="64">
        <v>8.8540955936204343E-5</v>
      </c>
      <c r="D55" s="64">
        <v>7.6447281954895651E-5</v>
      </c>
      <c r="E55" s="64">
        <v>7.0343628363499864E-5</v>
      </c>
      <c r="F55" s="64">
        <v>6.7794392656636028E-5</v>
      </c>
      <c r="G55" s="64">
        <v>6.7685671368859811E-5</v>
      </c>
      <c r="H55" s="64">
        <v>6.9986202374676875E-5</v>
      </c>
      <c r="I55" s="64">
        <v>7.4101349456942984E-5</v>
      </c>
      <c r="J55" s="64">
        <v>8.0739809737653571E-5</v>
      </c>
      <c r="K55" s="64">
        <v>9.3838539711427126E-5</v>
      </c>
      <c r="L55" s="64"/>
      <c r="M55" s="17"/>
      <c r="O55" s="17"/>
      <c r="U55" s="96"/>
      <c r="V55" s="3">
        <v>4500</v>
      </c>
      <c r="W55" s="39">
        <v>1.0827515152163511E-5</v>
      </c>
      <c r="X55" s="39">
        <v>1.1467713192151068E-5</v>
      </c>
      <c r="Y55" s="39">
        <v>1.2161472156879056E-5</v>
      </c>
      <c r="Z55" s="39">
        <v>1.2917027207844745E-5</v>
      </c>
      <c r="AA55" s="39">
        <v>1.3744777307503226E-5</v>
      </c>
      <c r="AB55" s="39">
        <v>1.4658037503032842E-5</v>
      </c>
      <c r="AC55" s="39">
        <v>1.5674119805937773E-5</v>
      </c>
      <c r="AD55" s="39">
        <v>1.6815925311504601E-5</v>
      </c>
      <c r="AE55" s="39">
        <v>1.8114356463130074E-5</v>
      </c>
      <c r="AF55" s="39"/>
      <c r="AG55" s="64"/>
      <c r="AH55" s="3"/>
      <c r="AO55" s="96"/>
      <c r="AP55" s="3">
        <v>4500</v>
      </c>
      <c r="AQ55" s="62">
        <v>17.215548424916516</v>
      </c>
      <c r="AR55" s="62">
        <v>18.771480215503946</v>
      </c>
      <c r="AS55" s="62">
        <v>19.470972339849467</v>
      </c>
      <c r="AT55" s="62">
        <v>19.507533907721722</v>
      </c>
      <c r="AU55" s="62">
        <v>19.05837975708133</v>
      </c>
      <c r="AV55" s="62">
        <v>18.144554254630194</v>
      </c>
      <c r="AW55" s="62">
        <v>17.015913337753613</v>
      </c>
      <c r="AX55" s="62">
        <v>15.637525997519973</v>
      </c>
      <c r="AY55" s="62">
        <v>13.587762335429803</v>
      </c>
      <c r="AZ55" s="62"/>
      <c r="BA55" s="4"/>
      <c r="BI55" s="96"/>
      <c r="BJ55" s="3">
        <v>4500</v>
      </c>
      <c r="BK55" s="63">
        <f t="shared" si="0"/>
        <v>0.14383838656290804</v>
      </c>
      <c r="BL55" s="63">
        <f t="shared" si="1"/>
        <v>6.547016462584368E-2</v>
      </c>
      <c r="BM55" s="63">
        <f t="shared" si="2"/>
        <v>2.5917876378554302E-2</v>
      </c>
      <c r="BN55" s="63">
        <f t="shared" si="3"/>
        <v>9.3985729845516459E-3</v>
      </c>
      <c r="BO55" s="63">
        <f t="shared" si="4"/>
        <v>8.6940481211479764E-3</v>
      </c>
      <c r="BP55" s="63">
        <f t="shared" si="5"/>
        <v>2.360172007556096E-2</v>
      </c>
      <c r="BQ55" s="63">
        <f t="shared" si="6"/>
        <v>5.0268286442830851E-2</v>
      </c>
      <c r="BR55" s="63">
        <f t="shared" si="7"/>
        <v>9.3286175746211647E-2</v>
      </c>
      <c r="BS55" s="63">
        <f t="shared" si="8"/>
        <v>0.17816726144977055</v>
      </c>
      <c r="BT55" s="63" t="str">
        <f t="shared" si="9"/>
        <v/>
      </c>
      <c r="BU55" s="63" t="str">
        <f t="shared" si="9"/>
        <v/>
      </c>
    </row>
    <row r="56" spans="1:73" ht="14.25" customHeight="1" x14ac:dyDescent="0.25">
      <c r="A56" s="96"/>
      <c r="B56" s="3">
        <v>5000</v>
      </c>
      <c r="C56" s="17">
        <v>9.2116433697769033E-5</v>
      </c>
      <c r="D56" s="17">
        <v>7.84745338786383E-5</v>
      </c>
      <c r="E56" s="17">
        <v>7.1264734714701243E-5</v>
      </c>
      <c r="F56" s="17">
        <v>6.7860970219574363E-5</v>
      </c>
      <c r="G56" s="17">
        <v>6.7029425238707987E-5</v>
      </c>
      <c r="H56" s="17">
        <v>6.8630240483083369E-5</v>
      </c>
      <c r="I56" s="17">
        <v>7.2035645870937825E-5</v>
      </c>
      <c r="J56" s="17">
        <v>7.7858266300725177E-5</v>
      </c>
      <c r="K56" s="17">
        <v>8.9723648642731901E-5</v>
      </c>
      <c r="L56" s="17"/>
      <c r="M56" s="17"/>
      <c r="O56" s="89" t="s">
        <v>498</v>
      </c>
      <c r="U56" s="96"/>
      <c r="V56" s="3">
        <v>5000</v>
      </c>
      <c r="W56" s="17">
        <v>1.0828522431622486E-5</v>
      </c>
      <c r="X56" s="17">
        <v>1.1458698513009332E-5</v>
      </c>
      <c r="Y56" s="17">
        <v>1.2140388604874814E-5</v>
      </c>
      <c r="Z56" s="17">
        <v>1.2881306170619793E-5</v>
      </c>
      <c r="AA56" s="17">
        <v>1.3691145513266062E-5</v>
      </c>
      <c r="AB56" s="17">
        <v>1.4582253456455575E-5</v>
      </c>
      <c r="AC56" s="17">
        <v>1.5570586210767142E-5</v>
      </c>
      <c r="AD56" s="17">
        <v>1.6677105332058518E-5</v>
      </c>
      <c r="AE56" s="17">
        <v>1.792986974700326E-5</v>
      </c>
      <c r="AG56" s="17"/>
      <c r="AO56" s="96"/>
      <c r="AP56" s="3">
        <v>5000</v>
      </c>
      <c r="AQ56" s="4">
        <v>16.653728493894249</v>
      </c>
      <c r="AR56" s="4">
        <v>18.387954529104594</v>
      </c>
      <c r="AS56" s="4">
        <v>19.307555770154622</v>
      </c>
      <c r="AT56" s="4">
        <v>19.557643956381664</v>
      </c>
      <c r="AU56" s="4">
        <v>19.29134141502524</v>
      </c>
      <c r="AV56" s="4">
        <v>18.524016189932308</v>
      </c>
      <c r="AW56" s="4">
        <v>17.498420782275559</v>
      </c>
      <c r="AX56" s="4">
        <v>16.184305442786766</v>
      </c>
      <c r="AY56" s="4">
        <v>14.155317284894895</v>
      </c>
      <c r="AZ56" s="4"/>
      <c r="BA56" s="4"/>
      <c r="BI56" s="96"/>
      <c r="BJ56" s="3">
        <v>5000</v>
      </c>
      <c r="BK56" s="63">
        <f t="shared" si="0"/>
        <v>0.16700784153435899</v>
      </c>
      <c r="BL56" s="63">
        <f t="shared" si="1"/>
        <v>7.8606960683662699E-2</v>
      </c>
      <c r="BM56" s="63">
        <f t="shared" si="2"/>
        <v>3.1886738038803701E-2</v>
      </c>
      <c r="BN56" s="63">
        <f t="shared" si="3"/>
        <v>9.8300022786143321E-3</v>
      </c>
      <c r="BO56" s="63">
        <f t="shared" si="4"/>
        <v>4.4415072925657459E-3</v>
      </c>
      <c r="BP56" s="63">
        <f t="shared" si="5"/>
        <v>1.4814950842089171E-2</v>
      </c>
      <c r="BQ56" s="63">
        <f t="shared" si="6"/>
        <v>3.6882319751944087E-2</v>
      </c>
      <c r="BR56" s="63">
        <f t="shared" si="7"/>
        <v>7.4613484888535767E-2</v>
      </c>
      <c r="BS56" s="63">
        <f t="shared" si="8"/>
        <v>0.15150235407615081</v>
      </c>
      <c r="BT56" s="63" t="str">
        <f t="shared" si="9"/>
        <v/>
      </c>
      <c r="BU56" s="63" t="str">
        <f t="shared" si="9"/>
        <v/>
      </c>
    </row>
    <row r="57" spans="1:73" x14ac:dyDescent="0.25">
      <c r="A57" s="96"/>
      <c r="B57" s="3">
        <v>5500</v>
      </c>
      <c r="C57" s="17">
        <v>9.620133437062839E-5</v>
      </c>
      <c r="D57" s="17">
        <v>8.0908849253258868E-5</v>
      </c>
      <c r="E57" s="17">
        <v>7.2534616818717421E-5</v>
      </c>
      <c r="F57" s="17">
        <v>6.8244779694932701E-5</v>
      </c>
      <c r="G57" s="17">
        <v>6.667713137920008E-5</v>
      </c>
      <c r="H57" s="17">
        <v>6.7581022721042864E-5</v>
      </c>
      <c r="I57" s="17">
        <v>7.0293277969681506E-5</v>
      </c>
      <c r="J57" s="17">
        <v>7.5334389933589426E-5</v>
      </c>
      <c r="K57" s="17">
        <v>8.603890876075849E-5</v>
      </c>
      <c r="L57" s="17"/>
      <c r="M57" s="17"/>
      <c r="U57" s="96"/>
      <c r="V57" s="3">
        <v>5500</v>
      </c>
      <c r="W57" s="17">
        <v>1.0829961725027809E-5</v>
      </c>
      <c r="X57" s="17">
        <v>1.1450403591659811E-5</v>
      </c>
      <c r="Y57" s="17">
        <v>1.2120416700372152E-5</v>
      </c>
      <c r="Z57" s="17">
        <v>1.2847231921829546E-5</v>
      </c>
      <c r="AA57" s="17">
        <v>1.3639895689334848E-5</v>
      </c>
      <c r="AB57" s="17">
        <v>1.4509870663350833E-5</v>
      </c>
      <c r="AC57" s="17">
        <v>1.5471884391026027E-5</v>
      </c>
      <c r="AD57" s="17">
        <v>1.6545155978629201E-5</v>
      </c>
      <c r="AE57" s="17">
        <v>1.7755215202253612E-5</v>
      </c>
      <c r="AG57" s="17"/>
      <c r="AO57" s="96"/>
      <c r="AP57" s="3">
        <v>5500</v>
      </c>
      <c r="AQ57" s="4">
        <v>16.051049880830416</v>
      </c>
      <c r="AR57" s="4">
        <v>17.936176392576968</v>
      </c>
      <c r="AS57" s="4">
        <v>19.059865676272132</v>
      </c>
      <c r="AT57" s="4">
        <v>19.52068478015747</v>
      </c>
      <c r="AU57" s="4">
        <v>19.444666620493109</v>
      </c>
      <c r="AV57" s="4">
        <v>18.838357520255709</v>
      </c>
      <c r="AW57" s="4">
        <v>17.932836356788069</v>
      </c>
      <c r="AX57" s="4">
        <v>16.700671619862916</v>
      </c>
      <c r="AY57" s="4">
        <v>14.711558055597049</v>
      </c>
      <c r="AZ57" s="4"/>
      <c r="BA57" s="4"/>
      <c r="BI57" s="96"/>
      <c r="BJ57" s="3">
        <v>5500</v>
      </c>
      <c r="BK57" s="63">
        <f t="shared" si="0"/>
        <v>0.19347840813110001</v>
      </c>
      <c r="BL57" s="63">
        <f t="shared" si="1"/>
        <v>9.4381568783560285E-2</v>
      </c>
      <c r="BM57" s="63">
        <f t="shared" si="2"/>
        <v>4.011570160399127E-2</v>
      </c>
      <c r="BN57" s="63">
        <f t="shared" si="3"/>
        <v>1.2317126223985946E-2</v>
      </c>
      <c r="BO57" s="63">
        <f t="shared" si="4"/>
        <v>2.1586077029413673E-3</v>
      </c>
      <c r="BP57" s="63">
        <f t="shared" si="5"/>
        <v>8.0159143736856699E-3</v>
      </c>
      <c r="BQ57" s="63">
        <f t="shared" si="6"/>
        <v>2.559160077004408E-2</v>
      </c>
      <c r="BR57" s="63">
        <f t="shared" si="7"/>
        <v>5.8258512562747743E-2</v>
      </c>
      <c r="BS57" s="63">
        <f t="shared" si="8"/>
        <v>0.12762486959152305</v>
      </c>
      <c r="BT57" s="63" t="str">
        <f t="shared" si="9"/>
        <v/>
      </c>
      <c r="BU57" s="63" t="str">
        <f t="shared" si="9"/>
        <v/>
      </c>
    </row>
    <row r="58" spans="1:73" x14ac:dyDescent="0.25">
      <c r="A58" s="96"/>
      <c r="B58" s="3">
        <v>6000</v>
      </c>
      <c r="C58" s="17">
        <v>1.0083993025180729E-4</v>
      </c>
      <c r="D58" s="17">
        <v>8.3781335135576628E-5</v>
      </c>
      <c r="E58" s="17">
        <v>7.4175525785390812E-5</v>
      </c>
      <c r="F58" s="17">
        <v>6.8961611137975518E-5</v>
      </c>
      <c r="G58" s="17">
        <v>6.6639390183927658E-5</v>
      </c>
      <c r="H58" s="17">
        <v>6.684440847912658E-5</v>
      </c>
      <c r="I58" s="17">
        <v>6.8875278941371094E-5</v>
      </c>
      <c r="J58" s="17">
        <v>7.3163521251634687E-5</v>
      </c>
      <c r="K58" s="17">
        <v>8.2771092712446672E-5</v>
      </c>
      <c r="L58" s="17"/>
      <c r="M58" s="17"/>
      <c r="U58" s="96"/>
      <c r="V58" s="3">
        <v>6000</v>
      </c>
      <c r="W58" s="17">
        <v>1.0831798554516305E-5</v>
      </c>
      <c r="X58" s="17">
        <v>1.1442776788951421E-5</v>
      </c>
      <c r="Y58" s="17">
        <v>1.2101480276227877E-5</v>
      </c>
      <c r="Z58" s="17">
        <v>1.2814692888662852E-5</v>
      </c>
      <c r="AA58" s="17">
        <v>1.3590864517597992E-5</v>
      </c>
      <c r="AB58" s="17">
        <v>1.4440649038663254E-5</v>
      </c>
      <c r="AC58" s="17">
        <v>1.5377658330267252E-5</v>
      </c>
      <c r="AD58" s="17">
        <v>1.64195424434353E-5</v>
      </c>
      <c r="AE58" s="17">
        <v>1.7589575356380998E-5</v>
      </c>
      <c r="AG58" s="17"/>
      <c r="AO58" s="96"/>
      <c r="AP58" s="3">
        <v>6000</v>
      </c>
      <c r="AQ58" s="4">
        <v>15.414870696811786</v>
      </c>
      <c r="AR58" s="4">
        <v>17.422219261100018</v>
      </c>
      <c r="AS58" s="4">
        <v>18.730082874837787</v>
      </c>
      <c r="AT58" s="4">
        <v>19.394114408569092</v>
      </c>
      <c r="AU58" s="4">
        <v>19.511769555232586</v>
      </c>
      <c r="AV58" s="4">
        <v>19.078319235625798</v>
      </c>
      <c r="AW58" s="4">
        <v>18.308831846339555</v>
      </c>
      <c r="AX58" s="4">
        <v>17.176593092416478</v>
      </c>
      <c r="AY58" s="4">
        <v>15.248197863253397</v>
      </c>
      <c r="AZ58" s="4"/>
      <c r="BA58" s="4"/>
      <c r="BI58" s="96"/>
      <c r="BJ58" s="3">
        <v>6000</v>
      </c>
      <c r="BK58" s="63">
        <f t="shared" si="0"/>
        <v>0.22353697528401112</v>
      </c>
      <c r="BL58" s="63">
        <f t="shared" si="1"/>
        <v>0.11299556577773115</v>
      </c>
      <c r="BM58" s="63">
        <f t="shared" si="2"/>
        <v>5.074895650052054E-2</v>
      </c>
      <c r="BN58" s="63">
        <f t="shared" si="3"/>
        <v>1.6962265964537024E-2</v>
      </c>
      <c r="BO58" s="63">
        <f t="shared" si="4"/>
        <v>1.9140409673198797E-3</v>
      </c>
      <c r="BP58" s="63">
        <f t="shared" si="5"/>
        <v>3.2425801096962852E-3</v>
      </c>
      <c r="BQ58" s="63">
        <f t="shared" si="6"/>
        <v>1.6402824660408395E-2</v>
      </c>
      <c r="BR58" s="63">
        <f t="shared" si="7"/>
        <v>4.4191065488633587E-2</v>
      </c>
      <c r="BS58" s="63">
        <f t="shared" si="8"/>
        <v>0.10644909341966624</v>
      </c>
      <c r="BT58" s="63" t="str">
        <f t="shared" si="9"/>
        <v/>
      </c>
      <c r="BU58" s="63" t="str">
        <f t="shared" si="9"/>
        <v/>
      </c>
    </row>
    <row r="59" spans="1:73" x14ac:dyDescent="0.25">
      <c r="A59" s="96"/>
      <c r="B59" s="3">
        <v>6500</v>
      </c>
      <c r="C59" s="17">
        <v>1.0608215997097174E-4</v>
      </c>
      <c r="D59" s="17">
        <v>8.7127311008004148E-5</v>
      </c>
      <c r="E59" s="17">
        <v>7.6213029801555453E-5</v>
      </c>
      <c r="F59" s="17">
        <v>7.0030014981363947E-5</v>
      </c>
      <c r="G59" s="17">
        <v>6.6929232478629577E-5</v>
      </c>
      <c r="H59" s="17">
        <v>6.642853957268465E-5</v>
      </c>
      <c r="I59" s="17">
        <v>6.7784988182583057E-5</v>
      </c>
      <c r="J59" s="17">
        <v>7.1343549650551268E-5</v>
      </c>
      <c r="K59" s="17">
        <v>7.9910186007353643E-5</v>
      </c>
      <c r="L59" s="17"/>
      <c r="M59" s="17"/>
      <c r="U59" s="96"/>
      <c r="V59" s="3">
        <v>6500</v>
      </c>
      <c r="W59" s="17">
        <v>1.0834000546278253E-5</v>
      </c>
      <c r="X59" s="17">
        <v>1.1435769781652554E-5</v>
      </c>
      <c r="Y59" s="17">
        <v>1.2083508333366178E-5</v>
      </c>
      <c r="Z59" s="17">
        <v>1.2783585527768218E-5</v>
      </c>
      <c r="AA59" s="17">
        <v>1.3543901192666175E-5</v>
      </c>
      <c r="AB59" s="17">
        <v>1.437436815742725E-5</v>
      </c>
      <c r="AC59" s="17">
        <v>1.5287583306451624E-5</v>
      </c>
      <c r="AD59" s="17">
        <v>1.6299780625149378E-5</v>
      </c>
      <c r="AE59" s="17">
        <v>1.7432216795248625E-5</v>
      </c>
      <c r="AG59" s="17"/>
      <c r="AO59" s="96"/>
      <c r="AP59" s="3">
        <v>6500</v>
      </c>
      <c r="AQ59" s="4">
        <v>14.752632663687203</v>
      </c>
      <c r="AR59" s="4">
        <v>16.85316994618346</v>
      </c>
      <c r="AS59" s="4">
        <v>18.322166920743655</v>
      </c>
      <c r="AT59" s="4">
        <v>19.177358788645133</v>
      </c>
      <c r="AU59" s="4">
        <v>19.487660389153532</v>
      </c>
      <c r="AV59" s="4">
        <v>19.235510798106557</v>
      </c>
      <c r="AW59" s="4">
        <v>18.616168140634429</v>
      </c>
      <c r="AX59" s="4">
        <v>17.601464468906059</v>
      </c>
      <c r="AY59" s="4">
        <v>15.755910699173878</v>
      </c>
      <c r="AZ59" s="4"/>
      <c r="BA59" s="4"/>
      <c r="BI59" s="96"/>
      <c r="BJ59" s="3">
        <v>6500</v>
      </c>
      <c r="BK59" s="63">
        <f t="shared" si="0"/>
        <v>0.25750715032854271</v>
      </c>
      <c r="BL59" s="63">
        <f t="shared" si="1"/>
        <v>0.13467782545925822</v>
      </c>
      <c r="BM59" s="63">
        <f t="shared" si="2"/>
        <v>6.3952187146826725E-2</v>
      </c>
      <c r="BN59" s="63">
        <f t="shared" si="3"/>
        <v>2.3885630166886423E-2</v>
      </c>
      <c r="BO59" s="63">
        <f t="shared" si="4"/>
        <v>3.7922481451431074E-3</v>
      </c>
      <c r="BP59" s="63">
        <f t="shared" si="5"/>
        <v>5.4770783125251857E-4</v>
      </c>
      <c r="BQ59" s="63">
        <f t="shared" si="6"/>
        <v>9.3376310482199999E-3</v>
      </c>
      <c r="BR59" s="63">
        <f t="shared" si="7"/>
        <v>3.2397466738303661E-2</v>
      </c>
      <c r="BS59" s="63">
        <f t="shared" si="8"/>
        <v>8.7910130656780161E-2</v>
      </c>
      <c r="BT59" s="63" t="str">
        <f t="shared" si="9"/>
        <v/>
      </c>
      <c r="BU59" s="63" t="str">
        <f t="shared" si="9"/>
        <v/>
      </c>
    </row>
    <row r="60" spans="1:73" x14ac:dyDescent="0.25">
      <c r="A60" s="96"/>
      <c r="B60" s="3">
        <v>7000</v>
      </c>
      <c r="C60" s="17">
        <v>1.1198437822996687E-4</v>
      </c>
      <c r="D60" s="17">
        <v>9.0986851912413266E-5</v>
      </c>
      <c r="E60" s="17">
        <v>7.8676422586156799E-5</v>
      </c>
      <c r="F60" s="17">
        <v>7.1471616031826862E-5</v>
      </c>
      <c r="G60" s="17">
        <v>6.7562360898215583E-5</v>
      </c>
      <c r="H60" s="17">
        <v>6.6344018069140816E-5</v>
      </c>
      <c r="I60" s="17">
        <v>6.7028164120794452E-5</v>
      </c>
      <c r="J60" s="17">
        <v>6.9874945131618587E-5</v>
      </c>
      <c r="K60" s="17">
        <v>7.7449286881147835E-5</v>
      </c>
      <c r="L60" s="17"/>
      <c r="M60" s="17"/>
      <c r="U60" s="96"/>
      <c r="V60" s="3">
        <v>7000</v>
      </c>
      <c r="W60" s="17">
        <v>1.0836537256430195E-5</v>
      </c>
      <c r="X60" s="17">
        <v>1.1429337281047411E-5</v>
      </c>
      <c r="Y60" s="17">
        <v>1.2066434586491523E-5</v>
      </c>
      <c r="Z60" s="17">
        <v>1.2753813588163872E-5</v>
      </c>
      <c r="AA60" s="17">
        <v>1.3498866213744987E-5</v>
      </c>
      <c r="AB60" s="17">
        <v>1.4310825245152789E-5</v>
      </c>
      <c r="AC60" s="17">
        <v>1.5201362484057609E-5</v>
      </c>
      <c r="AD60" s="17">
        <v>1.6185431209254615E-5</v>
      </c>
      <c r="AE60" s="17">
        <v>1.7282479574369926E-5</v>
      </c>
      <c r="AG60" s="17"/>
      <c r="AO60" s="96"/>
      <c r="AP60" s="3">
        <v>7000</v>
      </c>
      <c r="AQ60" s="4">
        <v>14.071656707694645</v>
      </c>
      <c r="AR60" s="4">
        <v>16.236859536143292</v>
      </c>
      <c r="AS60" s="4">
        <v>17.84171063941454</v>
      </c>
      <c r="AT60" s="4">
        <v>18.871912355086188</v>
      </c>
      <c r="AU60" s="4">
        <v>19.369274901389979</v>
      </c>
      <c r="AV60" s="4">
        <v>19.302861231323057</v>
      </c>
      <c r="AW60" s="4">
        <v>18.845136527259722</v>
      </c>
      <c r="AX60" s="4">
        <v>17.964439371912651</v>
      </c>
      <c r="AY60" s="4">
        <v>16.224479737161861</v>
      </c>
      <c r="AZ60" s="4"/>
      <c r="BA60" s="4"/>
      <c r="BI60" s="96"/>
      <c r="BJ60" s="3">
        <v>7000</v>
      </c>
      <c r="BK60" s="63">
        <f t="shared" si="0"/>
        <v>0.29575411739221663</v>
      </c>
      <c r="BL60" s="63">
        <f t="shared" si="1"/>
        <v>0.15968803812410973</v>
      </c>
      <c r="BM60" s="63">
        <f t="shared" si="2"/>
        <v>7.9915219783573105E-2</v>
      </c>
      <c r="BN60" s="63">
        <f t="shared" si="3"/>
        <v>3.3227349750363858E-2</v>
      </c>
      <c r="BO60" s="63">
        <f t="shared" si="4"/>
        <v>7.8949838876035405E-3</v>
      </c>
      <c r="BP60" s="63">
        <f t="shared" si="5"/>
        <v>0</v>
      </c>
      <c r="BQ60" s="63">
        <f t="shared" si="6"/>
        <v>4.433335121835043E-3</v>
      </c>
      <c r="BR60" s="63">
        <f t="shared" si="7"/>
        <v>2.2880761967249662E-2</v>
      </c>
      <c r="BS60" s="63">
        <f t="shared" si="8"/>
        <v>7.1963257176868897E-2</v>
      </c>
      <c r="BT60" s="63" t="str">
        <f t="shared" si="9"/>
        <v/>
      </c>
      <c r="BU60" s="63" t="str">
        <f t="shared" si="9"/>
        <v/>
      </c>
    </row>
    <row r="61" spans="1:73" x14ac:dyDescent="0.25">
      <c r="A61" s="96"/>
      <c r="B61" s="3">
        <v>7500</v>
      </c>
      <c r="C61" s="17">
        <v>1.1861021977236005E-4</v>
      </c>
      <c r="D61" s="17">
        <v>9.5405415343090134E-5</v>
      </c>
      <c r="E61" s="17">
        <v>8.1599196530518939E-5</v>
      </c>
      <c r="F61" s="17">
        <v>7.3311479920691841E-5</v>
      </c>
      <c r="G61" s="17">
        <v>6.855743601591848E-5</v>
      </c>
      <c r="H61" s="17">
        <v>6.6604124760082434E-5</v>
      </c>
      <c r="I61" s="17">
        <v>6.6613137173425377E-5</v>
      </c>
      <c r="J61" s="17">
        <v>6.8760834776622067E-5</v>
      </c>
      <c r="K61" s="17">
        <v>7.5384565753504329E-5</v>
      </c>
      <c r="L61" s="17"/>
      <c r="M61" s="17"/>
      <c r="U61" s="96"/>
      <c r="V61" s="3">
        <v>7500</v>
      </c>
      <c r="W61" s="17">
        <v>1.083938001244768E-5</v>
      </c>
      <c r="X61" s="17">
        <v>1.1423436777997849E-5</v>
      </c>
      <c r="Y61" s="17">
        <v>1.2050197054867444E-5</v>
      </c>
      <c r="Z61" s="17">
        <v>1.2725287451479495E-5</v>
      </c>
      <c r="AA61" s="17">
        <v>1.3455630310976187E-5</v>
      </c>
      <c r="AB61" s="17">
        <v>1.424983340635602E-5</v>
      </c>
      <c r="AC61" s="17">
        <v>1.5118723937902358E-5</v>
      </c>
      <c r="AD61" s="17">
        <v>1.6076094553726251E-5</v>
      </c>
      <c r="AE61" s="17">
        <v>1.7139768185204818E-5</v>
      </c>
      <c r="AG61" s="17"/>
      <c r="AO61" s="96"/>
      <c r="AP61" s="3">
        <v>7500</v>
      </c>
      <c r="AQ61" s="4">
        <v>13.378966076162763</v>
      </c>
      <c r="AR61" s="4">
        <v>15.581578584220233</v>
      </c>
      <c r="AS61" s="4">
        <v>17.295713166938441</v>
      </c>
      <c r="AT61" s="4">
        <v>18.481326413309642</v>
      </c>
      <c r="AU61" s="4">
        <v>19.155718280457911</v>
      </c>
      <c r="AV61" s="4">
        <v>19.275050164049684</v>
      </c>
      <c r="AW61" s="4">
        <v>18.987046842366585</v>
      </c>
      <c r="AX61" s="4">
        <v>18.254853845586478</v>
      </c>
      <c r="AY61" s="4">
        <v>16.643042858610837</v>
      </c>
      <c r="AZ61" s="4"/>
      <c r="BA61" s="4"/>
      <c r="BI61" s="96"/>
      <c r="BJ61" s="3">
        <v>7500</v>
      </c>
      <c r="BK61" s="63">
        <f t="shared" si="0"/>
        <v>0.33869023600403159</v>
      </c>
      <c r="BL61" s="63">
        <f t="shared" si="1"/>
        <v>0.18832077290044524</v>
      </c>
      <c r="BM61" s="63">
        <f t="shared" si="2"/>
        <v>9.8855088470098981E-2</v>
      </c>
      <c r="BN61" s="63">
        <f t="shared" si="3"/>
        <v>4.5149852523252237E-2</v>
      </c>
      <c r="BO61" s="63">
        <f t="shared" si="4"/>
        <v>1.4343170583285608E-2</v>
      </c>
      <c r="BP61" s="63">
        <f t="shared" si="5"/>
        <v>1.6855174791823133E-3</v>
      </c>
      <c r="BQ61" s="63">
        <f t="shared" si="6"/>
        <v>1.743918822739275E-3</v>
      </c>
      <c r="BR61" s="63">
        <f t="shared" si="7"/>
        <v>1.5661214979486339E-2</v>
      </c>
      <c r="BS61" s="63">
        <f t="shared" si="8"/>
        <v>5.8583656914831535E-2</v>
      </c>
      <c r="BT61" s="63" t="str">
        <f t="shared" si="9"/>
        <v/>
      </c>
      <c r="BU61" s="63" t="str">
        <f t="shared" si="9"/>
        <v/>
      </c>
    </row>
    <row r="62" spans="1:73" x14ac:dyDescent="0.25">
      <c r="A62" s="96"/>
      <c r="B62" s="3">
        <v>8000</v>
      </c>
      <c r="C62" s="17">
        <v>1.2603159655035287E-4</v>
      </c>
      <c r="D62" s="17">
        <v>1.0043456565641592E-4</v>
      </c>
      <c r="E62" s="17">
        <v>8.5019590922048104E-5</v>
      </c>
      <c r="F62" s="17">
        <v>7.5578540089944298E-5</v>
      </c>
      <c r="G62" s="17">
        <v>6.9936413564649746E-5</v>
      </c>
      <c r="H62" s="17">
        <v>6.7225083125113015E-5</v>
      </c>
      <c r="I62" s="17">
        <v>6.6551006145850315E-5</v>
      </c>
      <c r="J62" s="17">
        <v>6.800712511889524E-5</v>
      </c>
      <c r="K62" s="17">
        <v>7.3715281779656975E-5</v>
      </c>
      <c r="L62" s="17"/>
      <c r="M62" s="17"/>
      <c r="U62" s="96"/>
      <c r="V62" s="3">
        <v>8000</v>
      </c>
      <c r="W62" s="17">
        <v>1.0842501768488886E-5</v>
      </c>
      <c r="X62" s="17">
        <v>1.1418028311527017E-5</v>
      </c>
      <c r="Y62" s="17">
        <v>1.2034737692930076E-5</v>
      </c>
      <c r="Z62" s="17">
        <v>1.2697923540109504E-5</v>
      </c>
      <c r="AA62" s="17">
        <v>1.3414073488967406E-5</v>
      </c>
      <c r="AB62" s="17">
        <v>1.4191220058789542E-5</v>
      </c>
      <c r="AC62" s="17">
        <v>1.503941804600758E-5</v>
      </c>
      <c r="AD62" s="17">
        <v>1.5971406254846827E-5</v>
      </c>
      <c r="AE62" s="17">
        <v>1.7003543816178473E-5</v>
      </c>
      <c r="AG62" s="17"/>
      <c r="AO62" s="96"/>
      <c r="AP62" s="3">
        <v>8000</v>
      </c>
      <c r="AQ62" s="4">
        <v>12.681142497912289</v>
      </c>
      <c r="AR62" s="4">
        <v>14.895795668631925</v>
      </c>
      <c r="AS62" s="4">
        <v>16.69229010103507</v>
      </c>
      <c r="AT62" s="4">
        <v>18.011083093248811</v>
      </c>
      <c r="AU62" s="4">
        <v>18.848395403113919</v>
      </c>
      <c r="AV62" s="4">
        <v>19.148878356780894</v>
      </c>
      <c r="AW62" s="4">
        <v>19.034728032596739</v>
      </c>
      <c r="AX62" s="4">
        <v>18.46272442262082</v>
      </c>
      <c r="AY62" s="4">
        <v>17.000442990122743</v>
      </c>
      <c r="AZ62" s="4"/>
      <c r="BA62" s="4"/>
      <c r="BI62" s="96"/>
      <c r="BJ62" s="3">
        <v>8000</v>
      </c>
      <c r="BK62" s="63">
        <f t="shared" si="0"/>
        <v>0.38678150283619572</v>
      </c>
      <c r="BL62" s="63">
        <f t="shared" si="1"/>
        <v>0.22091017199609728</v>
      </c>
      <c r="BM62" s="63">
        <f t="shared" si="2"/>
        <v>0.1210195876290751</v>
      </c>
      <c r="BN62" s="63">
        <f t="shared" si="3"/>
        <v>5.9840630095332088E-2</v>
      </c>
      <c r="BO62" s="63">
        <f t="shared" si="4"/>
        <v>2.3279083586416397E-2</v>
      </c>
      <c r="BP62" s="63">
        <f t="shared" si="5"/>
        <v>5.7093900459146956E-3</v>
      </c>
      <c r="BQ62" s="63">
        <f t="shared" si="6"/>
        <v>1.3413035243853015E-3</v>
      </c>
      <c r="BR62" s="63">
        <f t="shared" si="7"/>
        <v>1.0777100704193712E-2</v>
      </c>
      <c r="BS62" s="63">
        <f t="shared" si="8"/>
        <v>4.7766529122182218E-2</v>
      </c>
      <c r="BT62" s="63" t="str">
        <f t="shared" si="9"/>
        <v/>
      </c>
      <c r="BU62" s="63" t="str">
        <f t="shared" si="9"/>
        <v/>
      </c>
    </row>
    <row r="63" spans="1:73" x14ac:dyDescent="0.25">
      <c r="A63" s="96"/>
      <c r="B63" s="3">
        <v>8500</v>
      </c>
      <c r="C63" s="17">
        <v>1.3432985055959013E-4</v>
      </c>
      <c r="D63" s="17">
        <v>1.0613281230949463E-4</v>
      </c>
      <c r="E63" s="17">
        <v>8.8981227606819386E-5</v>
      </c>
      <c r="F63" s="17">
        <v>7.8306094964269364E-5</v>
      </c>
      <c r="G63" s="17">
        <v>7.1724940407885319E-5</v>
      </c>
      <c r="H63" s="17">
        <v>6.8226374808051126E-5</v>
      </c>
      <c r="I63" s="17">
        <v>6.6855882514096668E-5</v>
      </c>
      <c r="J63" s="17">
        <v>6.7622672944953448E-5</v>
      </c>
      <c r="K63" s="17">
        <v>7.2443855833889133E-5</v>
      </c>
      <c r="L63" s="17"/>
      <c r="M63" s="17"/>
      <c r="O63" s="77"/>
      <c r="U63" s="96"/>
      <c r="V63" s="3">
        <v>8500</v>
      </c>
      <c r="W63" s="17">
        <v>1.0845876973134349E-5</v>
      </c>
      <c r="X63" s="17">
        <v>1.1413074258340869E-5</v>
      </c>
      <c r="Y63" s="17">
        <v>1.2020002056178007E-5</v>
      </c>
      <c r="Z63" s="17">
        <v>1.2671643785134343E-5</v>
      </c>
      <c r="AA63" s="17">
        <v>1.3374084172707881E-5</v>
      </c>
      <c r="AB63" s="17">
        <v>1.4134825545866016E-5</v>
      </c>
      <c r="AC63" s="17">
        <v>1.496321519900837E-5</v>
      </c>
      <c r="AD63" s="17">
        <v>1.5871033289698476E-5</v>
      </c>
      <c r="AE63" s="17">
        <v>1.6873317696735041E-5</v>
      </c>
      <c r="AG63" s="17"/>
      <c r="AO63" s="96"/>
      <c r="AP63" s="3">
        <v>8500</v>
      </c>
      <c r="AQ63" s="4">
        <v>11.984217762250946</v>
      </c>
      <c r="AR63" s="4">
        <v>14.187896049085053</v>
      </c>
      <c r="AS63" s="4">
        <v>16.040344281242206</v>
      </c>
      <c r="AT63" s="4">
        <v>17.468364305702451</v>
      </c>
      <c r="AU63" s="4">
        <v>18.451010104947471</v>
      </c>
      <c r="AV63" s="4">
        <v>18.923538203810807</v>
      </c>
      <c r="AW63" s="4">
        <v>18.982997779343673</v>
      </c>
      <c r="AX63" s="4">
        <v>18.579291424544426</v>
      </c>
      <c r="AY63" s="4">
        <v>17.285680441447134</v>
      </c>
      <c r="AZ63" s="4"/>
      <c r="BA63" s="4"/>
      <c r="BI63" s="96"/>
      <c r="BJ63" s="3">
        <v>8500</v>
      </c>
      <c r="BK63" s="63">
        <f t="shared" si="0"/>
        <v>0.44055502218946563</v>
      </c>
      <c r="BL63" s="63">
        <f t="shared" si="1"/>
        <v>0.25783538256906191</v>
      </c>
      <c r="BM63" s="63">
        <f t="shared" si="2"/>
        <v>0.14669139120390368</v>
      </c>
      <c r="BN63" s="63">
        <f t="shared" si="3"/>
        <v>7.7515459602642611E-2</v>
      </c>
      <c r="BO63" s="63">
        <f t="shared" si="4"/>
        <v>3.4868917147971933E-2</v>
      </c>
      <c r="BP63" s="63">
        <f t="shared" si="5"/>
        <v>1.2197860708635431E-2</v>
      </c>
      <c r="BQ63" s="63">
        <f t="shared" si="6"/>
        <v>3.3169330086118025E-3</v>
      </c>
      <c r="BR63" s="63">
        <f t="shared" si="7"/>
        <v>8.285812007456669E-3</v>
      </c>
      <c r="BS63" s="63">
        <f t="shared" si="8"/>
        <v>3.9527561307399608E-2</v>
      </c>
      <c r="BT63" s="63" t="str">
        <f t="shared" si="9"/>
        <v/>
      </c>
      <c r="BU63" s="63" t="str">
        <f t="shared" si="9"/>
        <v/>
      </c>
    </row>
    <row r="64" spans="1:73" x14ac:dyDescent="0.25">
      <c r="A64" s="96"/>
      <c r="B64" s="3">
        <v>9000</v>
      </c>
      <c r="C64" s="17">
        <v>1.4359708901820663E-4</v>
      </c>
      <c r="D64" s="17">
        <v>1.1256658130404139E-4</v>
      </c>
      <c r="E64" s="17">
        <v>9.3533848789378925E-5</v>
      </c>
      <c r="F64" s="17">
        <v>8.1532386829629707E-5</v>
      </c>
      <c r="G64" s="17">
        <v>7.3952818473598195E-5</v>
      </c>
      <c r="H64" s="17">
        <v>6.963111398617652E-5</v>
      </c>
      <c r="I64" s="17">
        <v>6.7545188313198522E-5</v>
      </c>
      <c r="J64" s="17">
        <v>6.7619508403825499E-5</v>
      </c>
      <c r="K64" s="17">
        <v>7.1576000998577489E-5</v>
      </c>
      <c r="L64" s="17"/>
      <c r="M64" s="17"/>
      <c r="U64" s="96"/>
      <c r="V64" s="3">
        <v>9000</v>
      </c>
      <c r="W64" s="17">
        <v>1.0849481448236513E-5</v>
      </c>
      <c r="X64" s="17">
        <v>1.1408539141013897E-5</v>
      </c>
      <c r="Y64" s="17">
        <v>1.2005938998355485E-5</v>
      </c>
      <c r="Z64" s="17">
        <v>1.2646375146951092E-5</v>
      </c>
      <c r="AA64" s="17">
        <v>1.3335558443151841E-5</v>
      </c>
      <c r="AB64" s="17">
        <v>1.4080501903875359E-5</v>
      </c>
      <c r="AC64" s="17">
        <v>1.4889903781948133E-5</v>
      </c>
      <c r="AD64" s="17">
        <v>1.5774670649452671E-5</v>
      </c>
      <c r="AE64" s="17">
        <v>1.6748645351360878E-5</v>
      </c>
      <c r="AG64" s="17"/>
      <c r="AO64" s="96"/>
      <c r="AP64" s="3">
        <v>9000</v>
      </c>
      <c r="AQ64" s="4">
        <v>11.293600333916226</v>
      </c>
      <c r="AR64" s="4">
        <v>13.465953385313217</v>
      </c>
      <c r="AS64" s="4">
        <v>15.34922255243427</v>
      </c>
      <c r="AT64" s="4">
        <v>16.861735608734051</v>
      </c>
      <c r="AU64" s="4">
        <v>17.969429393968479</v>
      </c>
      <c r="AV64" s="4">
        <v>18.60075172942992</v>
      </c>
      <c r="AW64" s="4">
        <v>18.82905373736714</v>
      </c>
      <c r="AX64" s="4">
        <v>18.597565137361226</v>
      </c>
      <c r="AY64" s="4">
        <v>17.48845039719987</v>
      </c>
      <c r="AZ64" s="4"/>
      <c r="BA64" s="4"/>
      <c r="BI64" s="96"/>
      <c r="BJ64" s="3">
        <v>9000</v>
      </c>
      <c r="BK64" s="63">
        <f t="shared" si="0"/>
        <v>0.50060765808745811</v>
      </c>
      <c r="BL64" s="63">
        <f t="shared" si="1"/>
        <v>0.29952685178145444</v>
      </c>
      <c r="BM64" s="63">
        <f t="shared" si="2"/>
        <v>0.17619283367553198</v>
      </c>
      <c r="BN64" s="63">
        <f t="shared" si="3"/>
        <v>9.8422154898801434E-2</v>
      </c>
      <c r="BO64" s="63">
        <f t="shared" si="4"/>
        <v>4.9305790754152194E-2</v>
      </c>
      <c r="BP64" s="63">
        <f t="shared" si="5"/>
        <v>2.1300711657417787E-2</v>
      </c>
      <c r="BQ64" s="63">
        <f t="shared" si="6"/>
        <v>7.7837038120921491E-3</v>
      </c>
      <c r="BR64" s="63">
        <f t="shared" si="7"/>
        <v>8.2653054631404137E-3</v>
      </c>
      <c r="BS64" s="63">
        <f t="shared" si="8"/>
        <v>3.3903774818035561E-2</v>
      </c>
      <c r="BT64" s="63" t="str">
        <f t="shared" si="9"/>
        <v/>
      </c>
      <c r="BU64" s="63" t="str">
        <f t="shared" si="9"/>
        <v/>
      </c>
    </row>
    <row r="65" spans="1:80" x14ac:dyDescent="0.25">
      <c r="A65" s="96"/>
      <c r="B65" s="3">
        <v>9500</v>
      </c>
      <c r="C65" s="17">
        <v>1.5393773362904471E-4</v>
      </c>
      <c r="D65" s="17">
        <v>1.1981134289744782E-4</v>
      </c>
      <c r="E65" s="17">
        <v>9.8734174482109161E-5</v>
      </c>
      <c r="F65" s="17">
        <v>8.530127617828749E-5</v>
      </c>
      <c r="G65" s="17">
        <v>7.6654547716298953E-5</v>
      </c>
      <c r="H65" s="17">
        <v>7.1466489609345278E-5</v>
      </c>
      <c r="I65" s="17">
        <v>6.8640014806945729E-5</v>
      </c>
      <c r="J65" s="17">
        <v>6.8013115752532885E-5</v>
      </c>
      <c r="K65" s="17">
        <v>7.1120913346577904E-5</v>
      </c>
      <c r="L65" s="17"/>
      <c r="M65" s="17"/>
      <c r="U65" s="96"/>
      <c r="V65" s="3">
        <v>9500</v>
      </c>
      <c r="W65" s="17">
        <v>1.0853292277719479E-5</v>
      </c>
      <c r="X65" s="17">
        <v>1.1404389452833418E-5</v>
      </c>
      <c r="Y65" s="17">
        <v>1.1992500396440655E-5</v>
      </c>
      <c r="Z65" s="17">
        <v>1.2622049182477849E-5</v>
      </c>
      <c r="AA65" s="17">
        <v>1.3298399351509453E-5</v>
      </c>
      <c r="AB65" s="17">
        <v>1.4028111764024739E-5</v>
      </c>
      <c r="AC65" s="17">
        <v>1.4819288391182715E-5</v>
      </c>
      <c r="AD65" s="17">
        <v>1.5682038391863622E-5</v>
      </c>
      <c r="AE65" s="17">
        <v>1.6629121621380626E-5</v>
      </c>
      <c r="AG65" s="17"/>
      <c r="AO65" s="96"/>
      <c r="AP65" s="3">
        <v>9500</v>
      </c>
      <c r="AQ65" s="4">
        <v>10.614034452987367</v>
      </c>
      <c r="AR65" s="4">
        <v>12.737543026448861</v>
      </c>
      <c r="AS65" s="4">
        <v>14.628382638221536</v>
      </c>
      <c r="AT65" s="4">
        <v>16.200772518493771</v>
      </c>
      <c r="AU65" s="4">
        <v>17.411423088193978</v>
      </c>
      <c r="AV65" s="4">
        <v>18.184756258261316</v>
      </c>
      <c r="AW65" s="4">
        <v>18.572741542814477</v>
      </c>
      <c r="AX65" s="4">
        <v>18.512823155455205</v>
      </c>
      <c r="AY65" s="4">
        <v>17.599732677418029</v>
      </c>
      <c r="AZ65" s="4"/>
      <c r="BA65" s="4"/>
      <c r="BI65" s="96"/>
      <c r="BJ65" s="3">
        <v>9500</v>
      </c>
      <c r="BK65" s="63">
        <f t="shared" si="0"/>
        <v>0.56761607365140854</v>
      </c>
      <c r="BL65" s="63">
        <f t="shared" si="1"/>
        <v>0.34647363448046647</v>
      </c>
      <c r="BM65" s="63">
        <f t="shared" si="2"/>
        <v>0.20989146642045073</v>
      </c>
      <c r="BN65" s="63">
        <f t="shared" si="3"/>
        <v>0.12284493637846963</v>
      </c>
      <c r="BO65" s="63">
        <f t="shared" si="4"/>
        <v>6.6813267574932E-2</v>
      </c>
      <c r="BP65" s="63">
        <f t="shared" si="5"/>
        <v>3.3194130017849079E-2</v>
      </c>
      <c r="BQ65" s="63">
        <f t="shared" si="6"/>
        <v>1.487828944232877E-2</v>
      </c>
      <c r="BR65" s="63">
        <f t="shared" si="7"/>
        <v>1.081592061179038E-2</v>
      </c>
      <c r="BS65" s="63">
        <f t="shared" si="8"/>
        <v>3.0954761129735213E-2</v>
      </c>
      <c r="BT65" s="63" t="str">
        <f t="shared" si="9"/>
        <v/>
      </c>
      <c r="BU65" s="63" t="str">
        <f t="shared" si="9"/>
        <v/>
      </c>
    </row>
    <row r="66" spans="1:80" x14ac:dyDescent="0.25">
      <c r="A66" s="96"/>
      <c r="B66" s="3">
        <v>10000</v>
      </c>
      <c r="C66" s="17">
        <v>1.6547032177394186E-4</v>
      </c>
      <c r="D66" s="17">
        <v>1.2795292308850751E-4</v>
      </c>
      <c r="E66" s="17">
        <v>1.0464690050707712E-4</v>
      </c>
      <c r="F66" s="17">
        <v>8.9663027972434277E-5</v>
      </c>
      <c r="G66" s="17">
        <v>7.9869961388093894E-5</v>
      </c>
      <c r="H66" s="17">
        <v>7.3764286377331497E-5</v>
      </c>
      <c r="I66" s="17">
        <v>7.0165550803856535E-5</v>
      </c>
      <c r="J66" s="17">
        <v>6.8822778683509829E-5</v>
      </c>
      <c r="K66" s="17">
        <v>7.109152757442783E-5</v>
      </c>
      <c r="L66" s="17"/>
      <c r="M66" s="17"/>
      <c r="U66" s="96"/>
      <c r="V66" s="3">
        <v>10000</v>
      </c>
      <c r="W66" s="17">
        <v>1.0857287705296761E-5</v>
      </c>
      <c r="X66" s="17">
        <v>1.1400593497529259E-5</v>
      </c>
      <c r="Y66" s="17">
        <v>1.1979640900375514E-5</v>
      </c>
      <c r="Z66" s="17">
        <v>1.2598601653585179E-5</v>
      </c>
      <c r="AA66" s="17">
        <v>1.3262516302773122E-5</v>
      </c>
      <c r="AB66" s="17">
        <v>1.3977527372201813E-5</v>
      </c>
      <c r="AC66" s="17">
        <v>1.4751188254812473E-5</v>
      </c>
      <c r="AD66" s="17">
        <v>1.5592879053035769E-5</v>
      </c>
      <c r="AE66" s="17">
        <v>1.6514376337136938E-5</v>
      </c>
      <c r="AG66" s="17"/>
      <c r="AO66" s="96"/>
      <c r="AP66" s="3">
        <v>10000</v>
      </c>
      <c r="AQ66" s="4">
        <v>9.949587670958314</v>
      </c>
      <c r="AR66" s="4">
        <v>12.009600884085083</v>
      </c>
      <c r="AS66" s="4">
        <v>13.887090493927078</v>
      </c>
      <c r="AT66" s="4">
        <v>15.495660528501476</v>
      </c>
      <c r="AU66" s="4">
        <v>16.78630251682284</v>
      </c>
      <c r="AV66" s="4">
        <v>17.682134477439082</v>
      </c>
      <c r="AW66" s="4">
        <v>18.216664770314331</v>
      </c>
      <c r="AX66" s="4">
        <v>18.323004298541626</v>
      </c>
      <c r="AY66" s="4">
        <v>17.612385540547326</v>
      </c>
      <c r="AZ66" s="4"/>
      <c r="BA66" s="4"/>
      <c r="BI66" s="96"/>
      <c r="BJ66" s="3">
        <v>10000</v>
      </c>
      <c r="BK66" s="63">
        <f t="shared" si="0"/>
        <v>0.64234840302004392</v>
      </c>
      <c r="BL66" s="63">
        <f t="shared" si="1"/>
        <v>0.39923189175757628</v>
      </c>
      <c r="BM66" s="63">
        <f t="shared" si="2"/>
        <v>0.24820652486289796</v>
      </c>
      <c r="BN66" s="63">
        <f t="shared" si="3"/>
        <v>0.15110952604463612</v>
      </c>
      <c r="BO66" s="63">
        <f t="shared" si="4"/>
        <v>8.7649471084316574E-2</v>
      </c>
      <c r="BP66" s="63">
        <f t="shared" si="5"/>
        <v>4.8084083836525356E-2</v>
      </c>
      <c r="BQ66" s="63">
        <f t="shared" si="6"/>
        <v>2.4763915908170505E-2</v>
      </c>
      <c r="BR66" s="63">
        <f t="shared" si="7"/>
        <v>1.6062617716994541E-2</v>
      </c>
      <c r="BS66" s="63">
        <f t="shared" si="8"/>
        <v>3.0764338375061307E-2</v>
      </c>
      <c r="BT66" s="63" t="str">
        <f t="shared" si="9"/>
        <v/>
      </c>
      <c r="BU66" s="63" t="str">
        <f t="shared" si="9"/>
        <v/>
      </c>
    </row>
    <row r="67" spans="1:80" x14ac:dyDescent="0.25">
      <c r="A67" s="96"/>
      <c r="B67" s="3">
        <v>10500</v>
      </c>
      <c r="C67" s="17">
        <v>1.7832960488286254E-4</v>
      </c>
      <c r="D67" s="17">
        <v>1.3708903176252858E-4</v>
      </c>
      <c r="E67" s="17">
        <v>1.1134586205104482E-4</v>
      </c>
      <c r="F67" s="17">
        <v>9.4675229527164565E-5</v>
      </c>
      <c r="G67" s="17">
        <v>8.3644969564672242E-5</v>
      </c>
      <c r="H67" s="17">
        <v>7.6561497582983539E-5</v>
      </c>
      <c r="I67" s="17">
        <v>7.2151591472398898E-5</v>
      </c>
      <c r="J67" s="17">
        <v>7.007199902677915E-5</v>
      </c>
      <c r="K67" s="17">
        <v>7.1504843944879054E-5</v>
      </c>
      <c r="L67" s="17"/>
      <c r="M67" s="17"/>
      <c r="U67" s="96"/>
      <c r="V67" s="3">
        <v>10500</v>
      </c>
      <c r="W67" s="17">
        <v>1.0861447040186102E-5</v>
      </c>
      <c r="X67" s="17">
        <v>1.1397121242316843E-5</v>
      </c>
      <c r="Y67" s="17">
        <v>1.1967317704841191E-5</v>
      </c>
      <c r="Z67" s="17">
        <v>1.2575972172082744E-5</v>
      </c>
      <c r="AA67" s="17">
        <v>1.3227824500270123E-5</v>
      </c>
      <c r="AB67" s="17">
        <v>1.3928629711775606E-5</v>
      </c>
      <c r="AC67" s="17">
        <v>1.4685435829793142E-5</v>
      </c>
      <c r="AD67" s="17">
        <v>1.5506955368102609E-5</v>
      </c>
      <c r="AE67" s="17">
        <v>1.6404070543204244E-5</v>
      </c>
      <c r="AG67" s="17"/>
      <c r="AO67" s="96"/>
      <c r="AP67" s="3">
        <v>10500</v>
      </c>
      <c r="AQ67" s="4">
        <v>9.3036619286313638</v>
      </c>
      <c r="AR67" s="4">
        <v>11.288327895398149</v>
      </c>
      <c r="AS67" s="4">
        <v>13.134163097062455</v>
      </c>
      <c r="AT67" s="4">
        <v>14.756799686941758</v>
      </c>
      <c r="AU67" s="4">
        <v>16.104491518124394</v>
      </c>
      <c r="AV67" s="4">
        <v>17.101503239480333</v>
      </c>
      <c r="AW67" s="4">
        <v>17.766118541249934</v>
      </c>
      <c r="AX67" s="4">
        <v>18.028950102989505</v>
      </c>
      <c r="AY67" s="4">
        <v>17.521684201199189</v>
      </c>
      <c r="AZ67" s="4"/>
      <c r="BA67" s="4"/>
      <c r="BI67" s="96"/>
      <c r="BJ67" s="3">
        <v>10500</v>
      </c>
      <c r="BK67" s="63">
        <f t="shared" si="0"/>
        <v>0.72567784899229149</v>
      </c>
      <c r="BL67" s="63">
        <f t="shared" si="1"/>
        <v>0.45843479348234589</v>
      </c>
      <c r="BM67" s="63">
        <f t="shared" si="2"/>
        <v>0.29161646842817912</v>
      </c>
      <c r="BN67" s="63">
        <f t="shared" si="3"/>
        <v>0.18358909548246685</v>
      </c>
      <c r="BO67" s="63">
        <f t="shared" si="4"/>
        <v>0.11211190318340901</v>
      </c>
      <c r="BP67" s="63">
        <f t="shared" si="5"/>
        <v>6.6210293366250159E-2</v>
      </c>
      <c r="BQ67" s="63">
        <f t="shared" si="6"/>
        <v>3.7633658893545828E-2</v>
      </c>
      <c r="BR67" s="63">
        <f t="shared" si="7"/>
        <v>2.4157690997532229E-2</v>
      </c>
      <c r="BS67" s="63">
        <f t="shared" si="8"/>
        <v>3.3442669963940332E-2</v>
      </c>
      <c r="BT67" s="63" t="str">
        <f t="shared" si="9"/>
        <v/>
      </c>
      <c r="BU67" s="63" t="str">
        <f t="shared" si="9"/>
        <v/>
      </c>
    </row>
    <row r="68" spans="1:80" x14ac:dyDescent="0.25">
      <c r="A68" s="96"/>
      <c r="B68" s="3">
        <v>11000</v>
      </c>
      <c r="C68" s="17">
        <v>1.7829751139141937E-4</v>
      </c>
      <c r="D68" s="17">
        <v>1.3705128241588369E-4</v>
      </c>
      <c r="E68" s="17">
        <v>1.1131361075663493E-4</v>
      </c>
      <c r="F68" s="17">
        <v>9.465030547788055E-5</v>
      </c>
      <c r="G68" s="17">
        <v>8.3626198417805232E-5</v>
      </c>
      <c r="H68" s="17">
        <v>7.6549145627167404E-5</v>
      </c>
      <c r="I68" s="17">
        <v>7.2141965229868607E-5</v>
      </c>
      <c r="J68" s="17">
        <v>7.0063120117866442E-5</v>
      </c>
      <c r="K68" s="17">
        <v>7.1507097278978823E-5</v>
      </c>
      <c r="L68" s="17"/>
      <c r="M68" s="17"/>
      <c r="U68" s="96"/>
      <c r="V68" s="3">
        <v>11000</v>
      </c>
      <c r="W68" s="17">
        <v>1.0865750569997337E-5</v>
      </c>
      <c r="X68" s="17">
        <v>1.1393944182856752E-5</v>
      </c>
      <c r="Y68" s="17">
        <v>1.1955490340698807E-5</v>
      </c>
      <c r="Z68" s="17">
        <v>1.2554103877168483E-5</v>
      </c>
      <c r="AA68" s="17">
        <v>1.3194244444107381E-5</v>
      </c>
      <c r="AB68" s="17">
        <v>1.3881307716784279E-5</v>
      </c>
      <c r="AC68" s="17">
        <v>1.4621875552823944E-5</v>
      </c>
      <c r="AD68" s="17">
        <v>1.5424048258333764E-5</v>
      </c>
      <c r="AE68" s="17">
        <v>1.6297893195555343E-5</v>
      </c>
      <c r="AG68" s="17"/>
      <c r="AO68" s="96"/>
      <c r="AP68" s="3">
        <v>11000</v>
      </c>
      <c r="AQ68" s="4">
        <v>9.378586688220615</v>
      </c>
      <c r="AR68" s="4">
        <v>11.372643060800248</v>
      </c>
      <c r="AS68" s="4">
        <v>13.223062681536236</v>
      </c>
      <c r="AT68" s="4">
        <v>14.845128011921719</v>
      </c>
      <c r="AU68" s="4">
        <v>16.187279270605515</v>
      </c>
      <c r="AV68" s="4">
        <v>17.173531685001659</v>
      </c>
      <c r="AW68" s="4">
        <v>17.823788208418161</v>
      </c>
      <c r="AX68" s="4">
        <v>18.068852668074822</v>
      </c>
      <c r="AY68" s="4">
        <v>17.537806340490871</v>
      </c>
      <c r="AZ68" s="4"/>
      <c r="BA68" s="4"/>
      <c r="BI68" s="96"/>
      <c r="BJ68" s="3">
        <v>11000</v>
      </c>
      <c r="BK68" s="63">
        <f t="shared" si="0"/>
        <v>0.72546987994466861</v>
      </c>
      <c r="BL68" s="63">
        <f t="shared" si="1"/>
        <v>0.45819017392501221</v>
      </c>
      <c r="BM68" s="63">
        <f t="shared" si="2"/>
        <v>0.29140747680148421</v>
      </c>
      <c r="BN68" s="63">
        <f t="shared" si="3"/>
        <v>0.18342758514004492</v>
      </c>
      <c r="BO68" s="63">
        <f t="shared" si="4"/>
        <v>0.11199026426657029</v>
      </c>
      <c r="BP68" s="63">
        <f t="shared" si="5"/>
        <v>6.6130251452084815E-2</v>
      </c>
      <c r="BQ68" s="63">
        <f t="shared" si="6"/>
        <v>3.757127987520948E-2</v>
      </c>
      <c r="BR68" s="63">
        <f t="shared" si="7"/>
        <v>2.4100154776090715E-2</v>
      </c>
      <c r="BS68" s="63">
        <f t="shared" si="8"/>
        <v>3.3457271795203677E-2</v>
      </c>
      <c r="BT68" s="63" t="str">
        <f t="shared" si="9"/>
        <v/>
      </c>
      <c r="BU68" s="63" t="str">
        <f t="shared" si="9"/>
        <v/>
      </c>
    </row>
    <row r="69" spans="1:80" x14ac:dyDescent="0.25">
      <c r="A69" s="96"/>
      <c r="B69" s="3">
        <v>11500</v>
      </c>
      <c r="C69" s="17">
        <v>1.9120079680485865E-4</v>
      </c>
      <c r="D69" s="17">
        <v>1.4627765542865056E-4</v>
      </c>
      <c r="E69" s="17">
        <v>1.181330660523039E-4</v>
      </c>
      <c r="F69" s="17">
        <v>9.980824360967222E-5</v>
      </c>
      <c r="G69" s="17">
        <v>8.7572538252490573E-5</v>
      </c>
      <c r="H69" s="17">
        <v>7.9546844421815648E-5</v>
      </c>
      <c r="I69" s="17">
        <v>7.4364760994400858E-5</v>
      </c>
      <c r="J69" s="17">
        <v>7.1596307017102005E-5</v>
      </c>
      <c r="K69" s="17">
        <v>7.2272506325209057E-5</v>
      </c>
      <c r="L69" s="17"/>
      <c r="M69" s="17"/>
      <c r="U69" s="96"/>
      <c r="V69" s="3">
        <v>11500</v>
      </c>
      <c r="W69" s="17">
        <v>1.0865750569997337E-5</v>
      </c>
      <c r="X69" s="17">
        <v>1.1393944182856754E-5</v>
      </c>
      <c r="Y69" s="17">
        <v>1.1955490340698807E-5</v>
      </c>
      <c r="Z69" s="17">
        <v>1.2554103877168479E-5</v>
      </c>
      <c r="AA69" s="17">
        <v>1.3194244444107377E-5</v>
      </c>
      <c r="AB69" s="17">
        <v>1.3881307716784275E-5</v>
      </c>
      <c r="AC69" s="17">
        <v>1.462187555282394E-5</v>
      </c>
      <c r="AD69" s="17">
        <v>1.5424048258333761E-5</v>
      </c>
      <c r="AE69" s="17">
        <v>1.6297893195555336E-5</v>
      </c>
      <c r="AG69" s="17"/>
      <c r="AO69" s="96"/>
      <c r="AP69" s="3">
        <v>11500</v>
      </c>
      <c r="AQ69" s="4">
        <v>8.7456678780741193</v>
      </c>
      <c r="AR69" s="4">
        <v>10.655320605005365</v>
      </c>
      <c r="AS69" s="4">
        <v>12.459736308642132</v>
      </c>
      <c r="AT69" s="4">
        <v>14.077954389034723</v>
      </c>
      <c r="AU69" s="4">
        <v>15.45782108342147</v>
      </c>
      <c r="AV69" s="4">
        <v>16.526352332933421</v>
      </c>
      <c r="AW69" s="4">
        <v>17.291027255410121</v>
      </c>
      <c r="AX69" s="4">
        <v>17.68192030593088</v>
      </c>
      <c r="AY69" s="4">
        <v>17.352070487307049</v>
      </c>
      <c r="AZ69" s="4"/>
      <c r="BA69" s="4"/>
      <c r="BI69" s="96"/>
      <c r="BJ69" s="3">
        <v>11500</v>
      </c>
      <c r="BK69" s="63">
        <f t="shared" si="0"/>
        <v>0.80908446526924105</v>
      </c>
      <c r="BL69" s="63">
        <f t="shared" si="1"/>
        <v>0.51797799762988206</v>
      </c>
      <c r="BM69" s="63">
        <f t="shared" si="2"/>
        <v>0.33559823197868327</v>
      </c>
      <c r="BN69" s="63">
        <f t="shared" si="3"/>
        <v>0.21685154223320241</v>
      </c>
      <c r="BO69" s="63">
        <f t="shared" si="4"/>
        <v>0.13756294271661659</v>
      </c>
      <c r="BP69" s="63">
        <f t="shared" si="5"/>
        <v>8.555564069298463E-2</v>
      </c>
      <c r="BQ69" s="63">
        <f t="shared" si="6"/>
        <v>5.1975219659336172E-2</v>
      </c>
      <c r="BR69" s="63">
        <f t="shared" si="7"/>
        <v>3.4035359857358338E-2</v>
      </c>
      <c r="BS69" s="63">
        <f t="shared" si="8"/>
        <v>3.8417199282939442E-2</v>
      </c>
      <c r="BT69" s="63" t="str">
        <f t="shared" si="9"/>
        <v/>
      </c>
      <c r="BU69" s="63" t="str">
        <f t="shared" si="9"/>
        <v/>
      </c>
    </row>
    <row r="70" spans="1:80" x14ac:dyDescent="0.25">
      <c r="A70" s="96"/>
      <c r="B70" s="3">
        <v>12000</v>
      </c>
      <c r="C70" s="17">
        <v>2.0529328100815858E-4</v>
      </c>
      <c r="D70" s="17">
        <v>1.5641382177767084E-4</v>
      </c>
      <c r="E70" s="17">
        <v>1.2568726566671801E-4</v>
      </c>
      <c r="F70" s="17">
        <v>1.0558695238940154E-4</v>
      </c>
      <c r="G70" s="17">
        <v>9.2063547138012444E-5</v>
      </c>
      <c r="H70" s="17">
        <v>8.303929539691746E-5</v>
      </c>
      <c r="I70" s="17">
        <v>7.7050078282172766E-5</v>
      </c>
      <c r="J70" s="17">
        <v>7.357479667179697E-5</v>
      </c>
      <c r="K70" s="17">
        <v>7.3487423838445578E-5</v>
      </c>
      <c r="L70" s="17"/>
      <c r="M70" s="17"/>
      <c r="U70" s="96"/>
      <c r="V70" s="3">
        <v>12000</v>
      </c>
      <c r="W70" s="17">
        <v>1.0865750569997337E-5</v>
      </c>
      <c r="X70" s="17">
        <v>1.1393944182856754E-5</v>
      </c>
      <c r="Y70" s="17">
        <v>1.1955490340698807E-5</v>
      </c>
      <c r="Z70" s="17">
        <v>1.2554103877168479E-5</v>
      </c>
      <c r="AA70" s="17">
        <v>1.3194244444107377E-5</v>
      </c>
      <c r="AB70" s="17">
        <v>1.3881307716784275E-5</v>
      </c>
      <c r="AC70" s="17">
        <v>1.462187555282394E-5</v>
      </c>
      <c r="AD70" s="17">
        <v>1.5424048258333761E-5</v>
      </c>
      <c r="AE70" s="17">
        <v>1.6297893195555336E-5</v>
      </c>
      <c r="AG70" s="17"/>
      <c r="AO70" s="96"/>
      <c r="AP70" s="3">
        <v>12000</v>
      </c>
      <c r="AQ70" s="4">
        <v>8.1453160993221925</v>
      </c>
      <c r="AR70" s="4">
        <v>9.9648183148177569</v>
      </c>
      <c r="AS70" s="4">
        <v>11.710867004189039</v>
      </c>
      <c r="AT70" s="4">
        <v>13.30747662840651</v>
      </c>
      <c r="AU70" s="4">
        <v>14.703763543878878</v>
      </c>
      <c r="AV70" s="4">
        <v>15.831290133234507</v>
      </c>
      <c r="AW70" s="4">
        <v>16.688407563808443</v>
      </c>
      <c r="AX70" s="4">
        <v>17.206438238933405</v>
      </c>
      <c r="AY70" s="4">
        <v>17.065200527458014</v>
      </c>
      <c r="AZ70" s="4"/>
      <c r="BA70" s="4"/>
      <c r="BI70" s="96"/>
      <c r="BJ70" s="3">
        <v>12000</v>
      </c>
      <c r="BK70" s="63">
        <f t="shared" si="0"/>
        <v>0.90040517818044441</v>
      </c>
      <c r="BL70" s="63">
        <f t="shared" si="1"/>
        <v>0.58366137352199987</v>
      </c>
      <c r="BM70" s="63">
        <f t="shared" si="2"/>
        <v>0.38455020412993091</v>
      </c>
      <c r="BN70" s="63">
        <f t="shared" si="3"/>
        <v>0.25429815546747814</v>
      </c>
      <c r="BO70" s="63">
        <f t="shared" si="4"/>
        <v>0.16666513131586808</v>
      </c>
      <c r="BP70" s="63">
        <f t="shared" si="5"/>
        <v>0.10818707374997846</v>
      </c>
      <c r="BQ70" s="63">
        <f t="shared" si="6"/>
        <v>6.9376345363964434E-2</v>
      </c>
      <c r="BR70" s="63">
        <f t="shared" si="7"/>
        <v>4.6856171514672619E-2</v>
      </c>
      <c r="BS70" s="63">
        <f t="shared" si="8"/>
        <v>4.6289986779915027E-2</v>
      </c>
      <c r="BT70" s="63" t="str">
        <f t="shared" si="9"/>
        <v/>
      </c>
      <c r="BU70" s="63" t="str">
        <f t="shared" si="9"/>
        <v/>
      </c>
    </row>
    <row r="71" spans="1:80" x14ac:dyDescent="0.25">
      <c r="A71" s="96"/>
      <c r="B71" s="3">
        <v>12500</v>
      </c>
      <c r="C71" s="17">
        <v>2.2066261408144831E-4</v>
      </c>
      <c r="D71" s="17">
        <v>1.6752282469789705E-4</v>
      </c>
      <c r="E71" s="17">
        <v>1.3402319394926264E-4</v>
      </c>
      <c r="F71" s="17">
        <v>1.1202237326502602E-4</v>
      </c>
      <c r="G71" s="17">
        <v>9.7127157501542482E-5</v>
      </c>
      <c r="H71" s="17">
        <v>8.7048220315889255E-5</v>
      </c>
      <c r="I71" s="17">
        <v>8.0214618781264998E-5</v>
      </c>
      <c r="J71" s="17">
        <v>7.6010894561543573E-5</v>
      </c>
      <c r="K71" s="17">
        <v>7.5159406159774124E-5</v>
      </c>
      <c r="L71" s="17"/>
      <c r="M71" s="17"/>
      <c r="U71" s="96"/>
      <c r="V71" s="3">
        <v>12500</v>
      </c>
      <c r="W71" s="17">
        <v>1.0865750569997337E-5</v>
      </c>
      <c r="X71" s="17">
        <v>1.1393944182856754E-5</v>
      </c>
      <c r="Y71" s="17">
        <v>1.1955490340698807E-5</v>
      </c>
      <c r="Z71" s="17">
        <v>1.2554103877168479E-5</v>
      </c>
      <c r="AA71" s="17">
        <v>1.3194244444107377E-5</v>
      </c>
      <c r="AB71" s="17">
        <v>1.3881307716784275E-5</v>
      </c>
      <c r="AC71" s="17">
        <v>1.462187555282394E-5</v>
      </c>
      <c r="AD71" s="17">
        <v>1.5424048258333761E-5</v>
      </c>
      <c r="AE71" s="17">
        <v>1.6297893195555336E-5</v>
      </c>
      <c r="AG71" s="17"/>
      <c r="AO71" s="96"/>
      <c r="AP71" s="3">
        <v>12500</v>
      </c>
      <c r="AQ71" s="4">
        <v>7.5779881147479502</v>
      </c>
      <c r="AR71" s="4">
        <v>9.3040176390981131</v>
      </c>
      <c r="AS71" s="4">
        <v>10.982478546962041</v>
      </c>
      <c r="AT71" s="4">
        <v>12.542993513111995</v>
      </c>
      <c r="AU71" s="4">
        <v>13.937200088518846</v>
      </c>
      <c r="AV71" s="4">
        <v>15.102194773395066</v>
      </c>
      <c r="AW71" s="4">
        <v>16.030034534011492</v>
      </c>
      <c r="AX71" s="4">
        <v>16.654983501744614</v>
      </c>
      <c r="AY71" s="4">
        <v>16.685571216242042</v>
      </c>
      <c r="AZ71" s="4"/>
      <c r="BA71" s="4"/>
      <c r="BI71" s="96"/>
      <c r="BJ71" s="3">
        <v>12500</v>
      </c>
      <c r="BK71" s="63">
        <f t="shared" si="0"/>
        <v>1</v>
      </c>
      <c r="BL71" s="63">
        <f t="shared" si="1"/>
        <v>0.65564882809513658</v>
      </c>
      <c r="BM71" s="63">
        <f t="shared" si="2"/>
        <v>0.43856785655776798</v>
      </c>
      <c r="BN71" s="63">
        <f t="shared" si="3"/>
        <v>0.29600032903514867</v>
      </c>
      <c r="BO71" s="63">
        <f t="shared" si="4"/>
        <v>0.19947783499758248</v>
      </c>
      <c r="BP71" s="63">
        <f t="shared" si="5"/>
        <v>0.13416530983146838</v>
      </c>
      <c r="BQ71" s="63">
        <f t="shared" si="6"/>
        <v>8.9882885605166787E-2</v>
      </c>
      <c r="BR71" s="63">
        <f t="shared" si="7"/>
        <v>6.2642330491600548E-2</v>
      </c>
      <c r="BS71" s="63">
        <f t="shared" si="8"/>
        <v>5.7124600135230928E-2</v>
      </c>
      <c r="BT71" s="63" t="str">
        <f t="shared" si="9"/>
        <v/>
      </c>
      <c r="BU71" s="63" t="str">
        <f t="shared" si="9"/>
        <v/>
      </c>
    </row>
    <row r="72" spans="1:80" s="1" customFormat="1" x14ac:dyDescent="0.25">
      <c r="T72" s="33"/>
      <c r="CB72" s="19"/>
    </row>
    <row r="73" spans="1:80" s="1" customFormat="1" x14ac:dyDescent="0.25">
      <c r="T73" s="33"/>
      <c r="CB73" s="19"/>
    </row>
    <row r="74" spans="1:80" x14ac:dyDescent="0.25">
      <c r="A74" s="22" t="s">
        <v>444</v>
      </c>
      <c r="U74" s="22" t="s">
        <v>434</v>
      </c>
      <c r="AO74" s="22" t="s">
        <v>404</v>
      </c>
      <c r="AQ74" s="19"/>
      <c r="BI74" s="22" t="s">
        <v>432</v>
      </c>
    </row>
    <row r="75" spans="1:80" x14ac:dyDescent="0.25">
      <c r="C75" s="97" t="s">
        <v>174</v>
      </c>
      <c r="D75" s="97"/>
      <c r="E75" s="97"/>
      <c r="F75" s="97"/>
      <c r="G75" s="97"/>
      <c r="H75" s="97"/>
      <c r="I75" s="97"/>
      <c r="J75" s="97"/>
      <c r="K75" s="97"/>
      <c r="L75" s="85"/>
      <c r="W75" s="97" t="s">
        <v>174</v>
      </c>
      <c r="X75" s="97"/>
      <c r="Y75" s="97"/>
      <c r="Z75" s="97"/>
      <c r="AA75" s="97"/>
      <c r="AB75" s="97"/>
      <c r="AC75" s="97"/>
      <c r="AD75" s="97"/>
      <c r="AE75" s="97"/>
      <c r="AF75" s="85"/>
      <c r="AG75" s="29"/>
      <c r="AH75" s="29"/>
      <c r="AQ75" s="97" t="s">
        <v>174</v>
      </c>
      <c r="AR75" s="97"/>
      <c r="AS75" s="97"/>
      <c r="AT75" s="97"/>
      <c r="AU75" s="97"/>
      <c r="AV75" s="97"/>
      <c r="AW75" s="97"/>
      <c r="AX75" s="97"/>
      <c r="AY75" s="97"/>
      <c r="AZ75" s="85"/>
      <c r="BK75" s="97" t="s">
        <v>174</v>
      </c>
      <c r="BL75" s="97"/>
      <c r="BM75" s="97"/>
      <c r="BN75" s="97"/>
      <c r="BO75" s="97"/>
      <c r="BP75" s="97"/>
      <c r="BQ75" s="97"/>
      <c r="BR75" s="97"/>
      <c r="BS75" s="97"/>
      <c r="BT75" s="85"/>
    </row>
    <row r="76" spans="1:80" x14ac:dyDescent="0.25">
      <c r="C76" s="3">
        <v>0.4</v>
      </c>
      <c r="D76" s="3">
        <v>0.45</v>
      </c>
      <c r="E76" s="3">
        <v>0.5</v>
      </c>
      <c r="F76" s="3">
        <v>0.55000000000000004</v>
      </c>
      <c r="G76" s="3">
        <v>0.6</v>
      </c>
      <c r="H76" s="3">
        <v>0.65</v>
      </c>
      <c r="I76" s="3">
        <v>0.7</v>
      </c>
      <c r="J76" s="3">
        <v>0.75</v>
      </c>
      <c r="K76" s="3">
        <v>0.8</v>
      </c>
      <c r="L76" s="3">
        <v>0.85</v>
      </c>
      <c r="M76" s="3">
        <v>0.9</v>
      </c>
      <c r="W76" s="3">
        <v>0.4</v>
      </c>
      <c r="X76" s="3">
        <v>0.45</v>
      </c>
      <c r="Y76" s="3">
        <v>0.5</v>
      </c>
      <c r="Z76" s="3">
        <v>0.55000000000000004</v>
      </c>
      <c r="AA76" s="3">
        <v>0.6</v>
      </c>
      <c r="AB76" s="3">
        <v>0.65</v>
      </c>
      <c r="AC76" s="3">
        <v>0.7</v>
      </c>
      <c r="AD76" s="3">
        <v>0.75</v>
      </c>
      <c r="AE76" s="3">
        <v>0.8</v>
      </c>
      <c r="AF76" s="3">
        <v>0.85</v>
      </c>
      <c r="AG76" s="3">
        <v>0.9</v>
      </c>
      <c r="AH76" s="3"/>
      <c r="AQ76" s="31">
        <v>0.4</v>
      </c>
      <c r="AR76" s="3">
        <v>0.45</v>
      </c>
      <c r="AS76" s="3">
        <v>0.5</v>
      </c>
      <c r="AT76" s="3">
        <v>0.55000000000000004</v>
      </c>
      <c r="AU76" s="3">
        <v>0.6</v>
      </c>
      <c r="AV76" s="3">
        <v>0.65</v>
      </c>
      <c r="AW76" s="3">
        <v>0.7</v>
      </c>
      <c r="AX76" s="3">
        <v>0.75</v>
      </c>
      <c r="AY76" s="3">
        <v>0.8</v>
      </c>
      <c r="AZ76" s="3">
        <v>0.85</v>
      </c>
      <c r="BA76" s="3">
        <v>0.9</v>
      </c>
      <c r="BK76" s="3">
        <v>0.4</v>
      </c>
      <c r="BL76" s="3">
        <v>0.45</v>
      </c>
      <c r="BM76" s="3">
        <v>0.5</v>
      </c>
      <c r="BN76" s="3">
        <v>0.55000000000000004</v>
      </c>
      <c r="BO76" s="3">
        <v>0.6</v>
      </c>
      <c r="BP76" s="3">
        <v>0.65</v>
      </c>
      <c r="BQ76" s="3">
        <v>0.7</v>
      </c>
      <c r="BR76" s="3">
        <v>0.75</v>
      </c>
      <c r="BS76" s="3">
        <v>0.8</v>
      </c>
      <c r="BT76" s="3">
        <v>0.85</v>
      </c>
      <c r="BU76" s="3">
        <v>0.9</v>
      </c>
    </row>
    <row r="77" spans="1:80" ht="14.25" customHeight="1" x14ac:dyDescent="0.25">
      <c r="A77" s="96" t="s">
        <v>175</v>
      </c>
      <c r="B77" s="3">
        <v>3000</v>
      </c>
      <c r="C77" s="63">
        <v>0.26636103586506144</v>
      </c>
      <c r="D77" s="63">
        <v>0.24806751295167165</v>
      </c>
      <c r="E77" s="63">
        <v>0.23467190231989052</v>
      </c>
      <c r="F77" s="63">
        <v>0.2241715702923249</v>
      </c>
      <c r="G77" s="63">
        <v>0.21576685554791311</v>
      </c>
      <c r="H77" s="63">
        <v>0.20912118938045932</v>
      </c>
      <c r="I77" s="63">
        <v>0.20386969120058926</v>
      </c>
      <c r="J77" s="63">
        <v>0.19992905507680037</v>
      </c>
      <c r="K77" s="63">
        <v>0.19796049499888341</v>
      </c>
      <c r="L77" s="63"/>
      <c r="M77" s="37"/>
      <c r="O77" t="s">
        <v>176</v>
      </c>
      <c r="P77" s="37">
        <f>MIN(C77:L96)</f>
        <v>0.19796049499888341</v>
      </c>
      <c r="U77" s="96" t="s">
        <v>175</v>
      </c>
      <c r="V77" s="3">
        <v>3000</v>
      </c>
      <c r="W77" s="64">
        <v>30968785.122918122</v>
      </c>
      <c r="X77" s="64">
        <v>31674819.182098571</v>
      </c>
      <c r="Y77" s="64">
        <v>32387763.624710593</v>
      </c>
      <c r="Z77" s="64">
        <v>33117355.092861824</v>
      </c>
      <c r="AA77" s="64">
        <v>33867940.014999107</v>
      </c>
      <c r="AB77" s="64">
        <v>34654045.907593392</v>
      </c>
      <c r="AC77" s="64">
        <v>35468042.389216989</v>
      </c>
      <c r="AD77" s="64">
        <v>36361287.24419184</v>
      </c>
      <c r="AE77" s="64">
        <v>37494380.471508279</v>
      </c>
      <c r="AF77" s="64"/>
      <c r="AG77" s="64"/>
      <c r="AH77" s="3"/>
      <c r="AO77" s="96" t="s">
        <v>175</v>
      </c>
      <c r="AP77" s="3">
        <v>3000</v>
      </c>
      <c r="AQ77" s="65">
        <v>3.1676017529927822</v>
      </c>
      <c r="AR77" s="62">
        <v>2.8153543724473611</v>
      </c>
      <c r="AS77" s="62">
        <v>2.5488751161630225</v>
      </c>
      <c r="AT77" s="62">
        <v>2.3320721051255346</v>
      </c>
      <c r="AU77" s="62">
        <v>2.1514029292609615</v>
      </c>
      <c r="AV77" s="62">
        <v>1.9985290112217073</v>
      </c>
      <c r="AW77" s="62">
        <v>1.8674942243309181</v>
      </c>
      <c r="AX77" s="62">
        <v>1.7539307423589006</v>
      </c>
      <c r="AY77" s="62">
        <v>1.6545626956333852</v>
      </c>
      <c r="AZ77" s="62"/>
      <c r="BA77" s="4"/>
      <c r="BI77" s="96" t="s">
        <v>175</v>
      </c>
      <c r="BJ77" s="3">
        <v>3000</v>
      </c>
      <c r="BK77" s="63">
        <f t="shared" ref="BK77:BU77" si="10">IF((C77-$P$77)/$P$79&gt;=0,(C77-$P$77)/$P$79,"")</f>
        <v>0.70786937954123463</v>
      </c>
      <c r="BL77" s="63">
        <f t="shared" si="10"/>
        <v>0.5185518017802716</v>
      </c>
      <c r="BM77" s="63">
        <f t="shared" si="10"/>
        <v>0.37992215841171162</v>
      </c>
      <c r="BN77" s="63">
        <f t="shared" si="10"/>
        <v>0.27125542240048878</v>
      </c>
      <c r="BO77" s="63">
        <f t="shared" si="10"/>
        <v>0.18427599013272938</v>
      </c>
      <c r="BP77" s="63">
        <f t="shared" si="10"/>
        <v>0.11550075053634475</v>
      </c>
      <c r="BQ77" s="63">
        <f t="shared" si="10"/>
        <v>6.1153596096157149E-2</v>
      </c>
      <c r="BR77" s="63">
        <f t="shared" si="10"/>
        <v>2.0372403248550292E-2</v>
      </c>
      <c r="BS77" s="63">
        <f t="shared" si="10"/>
        <v>0</v>
      </c>
      <c r="BT77" s="63" t="str">
        <f t="shared" si="10"/>
        <v/>
      </c>
      <c r="BU77" s="63" t="str">
        <f t="shared" si="10"/>
        <v/>
      </c>
    </row>
    <row r="78" spans="1:80" x14ac:dyDescent="0.25">
      <c r="A78" s="96"/>
      <c r="B78" s="3">
        <v>3500</v>
      </c>
      <c r="C78" s="63">
        <v>0.26947618847935711</v>
      </c>
      <c r="D78" s="63">
        <v>0.2507502129227358</v>
      </c>
      <c r="E78" s="63">
        <v>0.23707752071257046</v>
      </c>
      <c r="F78" s="63">
        <v>0.22630134598601004</v>
      </c>
      <c r="G78" s="63">
        <v>0.21772256207982627</v>
      </c>
      <c r="H78" s="63">
        <v>0.21090893569239458</v>
      </c>
      <c r="I78" s="63">
        <v>0.20544137278319941</v>
      </c>
      <c r="J78" s="63">
        <v>0.20131797267779222</v>
      </c>
      <c r="K78" s="63">
        <v>0.19904672976117396</v>
      </c>
      <c r="L78" s="63"/>
      <c r="M78" s="37"/>
      <c r="O78" t="s">
        <v>177</v>
      </c>
      <c r="P78" s="37">
        <f>MAX(C77:L96)</f>
        <v>0.2945892556757585</v>
      </c>
      <c r="U78" s="96"/>
      <c r="V78" s="3">
        <v>3500</v>
      </c>
      <c r="W78" s="64">
        <v>30872629.746548381</v>
      </c>
      <c r="X78" s="64">
        <v>31560407.468838938</v>
      </c>
      <c r="Y78" s="64">
        <v>32230125.689744838</v>
      </c>
      <c r="Z78" s="64">
        <v>32937110.048881758</v>
      </c>
      <c r="AA78" s="64">
        <v>33645894.852724776</v>
      </c>
      <c r="AB78" s="64">
        <v>34386583.764750838</v>
      </c>
      <c r="AC78" s="64">
        <v>35167414.258419976</v>
      </c>
      <c r="AD78" s="64">
        <v>36002436.582551181</v>
      </c>
      <c r="AE78" s="64">
        <v>37071378.65165925</v>
      </c>
      <c r="AF78" s="64"/>
      <c r="AG78" s="64"/>
      <c r="AH78" s="3"/>
      <c r="AO78" s="96"/>
      <c r="AP78" s="3">
        <v>3500</v>
      </c>
      <c r="AQ78" s="65">
        <v>3.2226271238451409</v>
      </c>
      <c r="AR78" s="62">
        <v>2.8682295538485429</v>
      </c>
      <c r="AS78" s="62">
        <v>2.5984405280046508</v>
      </c>
      <c r="AT78" s="62">
        <v>2.379673873386873</v>
      </c>
      <c r="AU78" s="62">
        <v>2.1973683278720588</v>
      </c>
      <c r="AV78" s="62">
        <v>2.0431097893595234</v>
      </c>
      <c r="AW78" s="62">
        <v>1.9108881849202075</v>
      </c>
      <c r="AX78" s="62">
        <v>1.7962961277394667</v>
      </c>
      <c r="AY78" s="62">
        <v>1.6960280777063188</v>
      </c>
      <c r="AZ78" s="62"/>
      <c r="BA78" s="4"/>
      <c r="BI78" s="96"/>
      <c r="BJ78" s="3">
        <v>3500</v>
      </c>
      <c r="BK78" s="63">
        <f t="shared" ref="BK78:BK96" si="11">IF((C78-$P$77)/$P$79&gt;=0,(C78-$P$77)/$P$79,"")</f>
        <v>0.74010773789825324</v>
      </c>
      <c r="BL78" s="63">
        <f t="shared" ref="BL78:BL96" si="12">IF((D78-$P$77)/$P$79&gt;=0,(D78-$P$77)/$P$79,"")</f>
        <v>0.54631475715993405</v>
      </c>
      <c r="BM78" s="63">
        <f t="shared" ref="BM78:BM96" si="13">IF((E78-$P$77)/$P$79&gt;=0,(E78-$P$77)/$P$79,"")</f>
        <v>0.40481762820588907</v>
      </c>
      <c r="BN78" s="63">
        <f t="shared" ref="BN78:BN96" si="14">IF((F78-$P$77)/$P$79&gt;=0,(F78-$P$77)/$P$79,"")</f>
        <v>0.29329622763038377</v>
      </c>
      <c r="BO78" s="63">
        <f t="shared" ref="BO78:BO96" si="15">IF((G78-$P$77)/$P$79&gt;=0,(G78-$P$77)/$P$79,"")</f>
        <v>0.20451537350279042</v>
      </c>
      <c r="BP78" s="63">
        <f t="shared" ref="BP78:BP96" si="16">IF((H78-$P$77)/$P$79&gt;=0,(H78-$P$77)/$P$79,"")</f>
        <v>0.13400193278697356</v>
      </c>
      <c r="BQ78" s="63">
        <f t="shared" ref="BQ78:BQ96" si="17">IF((I78-$P$77)/$P$79&gt;=0,(I78-$P$77)/$P$79,"")</f>
        <v>7.7418749158254488E-2</v>
      </c>
      <c r="BR78" s="63">
        <f t="shared" ref="BR78:BR96" si="18">IF((J78-$P$77)/$P$79&gt;=0,(J78-$P$77)/$P$79,"")</f>
        <v>3.4746152754004195E-2</v>
      </c>
      <c r="BS78" s="63">
        <f t="shared" ref="BS78:BS96" si="19">IF((K78-$P$77)/$P$79&gt;=0,(K78-$P$77)/$P$79,"")</f>
        <v>1.124131940305957E-2</v>
      </c>
      <c r="BT78" s="63"/>
      <c r="BU78" s="63" t="str">
        <f t="shared" ref="BU78:BU96" si="20">IF((M78-$P$77)/$P$79&gt;=0,(M78-$P$77)/$P$79,"")</f>
        <v/>
      </c>
    </row>
    <row r="79" spans="1:80" x14ac:dyDescent="0.25">
      <c r="A79" s="96"/>
      <c r="B79" s="3">
        <v>4000</v>
      </c>
      <c r="C79" s="63">
        <v>0.27081487427549261</v>
      </c>
      <c r="D79" s="63">
        <v>0.25182847712691514</v>
      </c>
      <c r="E79" s="63">
        <v>0.23790436765604636</v>
      </c>
      <c r="F79" s="63">
        <v>0.22709196152939704</v>
      </c>
      <c r="G79" s="63">
        <v>0.21841168885113207</v>
      </c>
      <c r="H79" s="63">
        <v>0.21149290902892501</v>
      </c>
      <c r="I79" s="63">
        <v>0.20591246457200502</v>
      </c>
      <c r="J79" s="63">
        <v>0.20165338276939099</v>
      </c>
      <c r="K79" s="63">
        <v>0.19921003154689984</v>
      </c>
      <c r="L79" s="63"/>
      <c r="M79" s="37"/>
      <c r="O79" t="s">
        <v>178</v>
      </c>
      <c r="P79" s="37">
        <f>P78-P77</f>
        <v>9.6628760676875092E-2</v>
      </c>
      <c r="U79" s="96"/>
      <c r="V79" s="3">
        <v>4000</v>
      </c>
      <c r="W79" s="64">
        <v>30894391.232480943</v>
      </c>
      <c r="X79" s="64">
        <v>31543148.478140466</v>
      </c>
      <c r="Y79" s="64">
        <v>32198018.225155525</v>
      </c>
      <c r="Z79" s="64">
        <v>32859054.206717156</v>
      </c>
      <c r="AA79" s="64">
        <v>33540110.318176005</v>
      </c>
      <c r="AB79" s="64">
        <v>34250545.756209686</v>
      </c>
      <c r="AC79" s="64">
        <v>34997892.027890325</v>
      </c>
      <c r="AD79" s="64">
        <v>35792931.020987071</v>
      </c>
      <c r="AE79" s="64">
        <v>36787165.652829237</v>
      </c>
      <c r="AF79" s="64"/>
      <c r="AG79" s="64"/>
      <c r="AH79" s="3"/>
      <c r="AO79" s="96"/>
      <c r="AP79" s="3">
        <v>4000</v>
      </c>
      <c r="AQ79" s="65">
        <v>3.2430112570668554</v>
      </c>
      <c r="AR79" s="62">
        <v>2.8864236351335979</v>
      </c>
      <c r="AS79" s="62">
        <v>2.6158578712220932</v>
      </c>
      <c r="AT79" s="62">
        <v>2.3976781550201647</v>
      </c>
      <c r="AU79" s="62">
        <v>2.2158617248518904</v>
      </c>
      <c r="AV79" s="62">
        <v>2.0620170531710431</v>
      </c>
      <c r="AW79" s="62">
        <v>1.9301501917303172</v>
      </c>
      <c r="AX79" s="62">
        <v>1.8158655784816875</v>
      </c>
      <c r="AY79" s="62">
        <v>1.7158665418891366</v>
      </c>
      <c r="AZ79" s="62"/>
      <c r="BA79" s="4"/>
      <c r="BI79" s="96"/>
      <c r="BJ79" s="3">
        <v>4000</v>
      </c>
      <c r="BK79" s="63">
        <f t="shared" si="11"/>
        <v>0.75396164419652434</v>
      </c>
      <c r="BL79" s="63">
        <f t="shared" si="12"/>
        <v>0.5574735901681005</v>
      </c>
      <c r="BM79" s="63">
        <f t="shared" si="13"/>
        <v>0.41337457271892969</v>
      </c>
      <c r="BN79" s="63">
        <f t="shared" si="14"/>
        <v>0.30147821752499493</v>
      </c>
      <c r="BO79" s="63">
        <f t="shared" si="15"/>
        <v>0.21164706769485647</v>
      </c>
      <c r="BP79" s="63">
        <f t="shared" si="16"/>
        <v>0.14004540610112717</v>
      </c>
      <c r="BQ79" s="63">
        <f t="shared" si="17"/>
        <v>8.2294024236871446E-2</v>
      </c>
      <c r="BR79" s="63">
        <f t="shared" si="18"/>
        <v>3.8217273456052421E-2</v>
      </c>
      <c r="BS79" s="63">
        <f t="shared" si="19"/>
        <v>1.2931310918856364E-2</v>
      </c>
      <c r="BT79" s="63"/>
      <c r="BU79" s="63" t="str">
        <f t="shared" si="20"/>
        <v/>
      </c>
    </row>
    <row r="80" spans="1:80" x14ac:dyDescent="0.25">
      <c r="A80" s="96"/>
      <c r="B80" s="3">
        <v>4500</v>
      </c>
      <c r="C80" s="63">
        <v>0.27230955597995382</v>
      </c>
      <c r="D80" s="63">
        <v>0.25294010021679425</v>
      </c>
      <c r="E80" s="63">
        <v>0.23874439199240499</v>
      </c>
      <c r="F80" s="63">
        <v>0.22781965436459897</v>
      </c>
      <c r="G80" s="63">
        <v>0.21904017263311371</v>
      </c>
      <c r="H80" s="63">
        <v>0.21202013029622155</v>
      </c>
      <c r="I80" s="63">
        <v>0.2063323669177671</v>
      </c>
      <c r="J80" s="63">
        <v>0.20189986071043295</v>
      </c>
      <c r="K80" s="63">
        <v>0.19926075807903404</v>
      </c>
      <c r="L80" s="63"/>
      <c r="M80" s="37"/>
      <c r="O80" s="37"/>
      <c r="U80" s="96"/>
      <c r="V80" s="3">
        <v>4500</v>
      </c>
      <c r="W80" s="64">
        <v>30899488.763060097</v>
      </c>
      <c r="X80" s="64">
        <v>31528737.65391304</v>
      </c>
      <c r="Y80" s="64">
        <v>32166681.647896796</v>
      </c>
      <c r="Z80" s="64">
        <v>32798280.423845142</v>
      </c>
      <c r="AA80" s="64">
        <v>33450343.857969973</v>
      </c>
      <c r="AB80" s="64">
        <v>34129860.337235987</v>
      </c>
      <c r="AC80" s="64">
        <v>34843654.294563532</v>
      </c>
      <c r="AD80" s="64">
        <v>35615920.353184909</v>
      </c>
      <c r="AE80" s="64">
        <v>36554450.624919988</v>
      </c>
      <c r="AF80" s="64"/>
      <c r="AG80" s="64"/>
      <c r="AH80" s="3"/>
      <c r="AO80" s="96"/>
      <c r="AP80" s="3">
        <v>4500</v>
      </c>
      <c r="AQ80" s="65">
        <v>3.262098709978563</v>
      </c>
      <c r="AR80" s="62">
        <v>2.9032799265134619</v>
      </c>
      <c r="AS80" s="62">
        <v>2.6313790211638466</v>
      </c>
      <c r="AT80" s="62">
        <v>2.4135139276149498</v>
      </c>
      <c r="AU80" s="62">
        <v>2.2319596829908694</v>
      </c>
      <c r="AV80" s="62">
        <v>2.0783368606166475</v>
      </c>
      <c r="AW80" s="62">
        <v>1.9466601557244578</v>
      </c>
      <c r="AX80" s="62">
        <v>1.8325403448178925</v>
      </c>
      <c r="AY80" s="62">
        <v>1.7326855102746483</v>
      </c>
      <c r="AZ80" s="62"/>
      <c r="BA80" s="4"/>
      <c r="BI80" s="96"/>
      <c r="BJ80" s="3">
        <v>4500</v>
      </c>
      <c r="BK80" s="63">
        <f t="shared" si="11"/>
        <v>0.76942993432040785</v>
      </c>
      <c r="BL80" s="63">
        <f t="shared" si="12"/>
        <v>0.56897765047159921</v>
      </c>
      <c r="BM80" s="63">
        <f t="shared" si="13"/>
        <v>0.42206788856479521</v>
      </c>
      <c r="BN80" s="63">
        <f t="shared" si="14"/>
        <v>0.30900902750438947</v>
      </c>
      <c r="BO80" s="63">
        <f t="shared" si="15"/>
        <v>0.21815117452163518</v>
      </c>
      <c r="BP80" s="63">
        <f t="shared" si="16"/>
        <v>0.1455015587372927</v>
      </c>
      <c r="BQ80" s="63">
        <f t="shared" si="17"/>
        <v>8.6639545620160546E-2</v>
      </c>
      <c r="BR80" s="63">
        <f t="shared" si="18"/>
        <v>4.0768045496544378E-2</v>
      </c>
      <c r="BS80" s="63">
        <f t="shared" si="19"/>
        <v>1.3456274002092291E-2</v>
      </c>
      <c r="BT80" s="63"/>
      <c r="BU80" s="63" t="str">
        <f t="shared" si="20"/>
        <v/>
      </c>
    </row>
    <row r="81" spans="1:73" ht="14.25" customHeight="1" x14ac:dyDescent="0.25">
      <c r="A81" s="96"/>
      <c r="B81" s="3">
        <v>5000</v>
      </c>
      <c r="C81" s="37">
        <v>0.27393257066285542</v>
      </c>
      <c r="D81" s="37">
        <v>0.25416435135529292</v>
      </c>
      <c r="E81" s="37">
        <v>0.2397524565197493</v>
      </c>
      <c r="F81" s="37">
        <v>0.22862191412345606</v>
      </c>
      <c r="G81" s="37">
        <v>0.21973336559398229</v>
      </c>
      <c r="H81" s="37">
        <v>0.21255036336328081</v>
      </c>
      <c r="I81" s="37">
        <v>0.20675739099744683</v>
      </c>
      <c r="J81" s="37">
        <v>0.20224789541830121</v>
      </c>
      <c r="K81" s="37">
        <v>0.19937381585540734</v>
      </c>
      <c r="L81" s="37"/>
      <c r="M81" s="37"/>
      <c r="U81" s="96"/>
      <c r="V81" s="3">
        <v>5000</v>
      </c>
      <c r="W81" s="17">
        <v>30917254.634343065</v>
      </c>
      <c r="X81" s="17">
        <v>31526946.876401011</v>
      </c>
      <c r="Y81" s="17">
        <v>32127735.365436707</v>
      </c>
      <c r="Z81" s="17">
        <v>32747126.495194286</v>
      </c>
      <c r="AA81" s="17">
        <v>33369335.352757841</v>
      </c>
      <c r="AB81" s="17">
        <v>34034454.781523183</v>
      </c>
      <c r="AC81" s="17">
        <v>34714476.636423379</v>
      </c>
      <c r="AD81" s="17">
        <v>35431603.492693216</v>
      </c>
      <c r="AE81" s="17">
        <v>36332971.301943831</v>
      </c>
      <c r="AF81" s="17"/>
      <c r="AG81" s="17"/>
      <c r="AO81" s="96"/>
      <c r="AP81" s="3">
        <v>5000</v>
      </c>
      <c r="AQ81" s="8">
        <v>3.283234537738275</v>
      </c>
      <c r="AR81" s="4">
        <v>2.9221421807211803</v>
      </c>
      <c r="AS81" s="4">
        <v>2.6482328447190162</v>
      </c>
      <c r="AT81" s="4">
        <v>2.4302059186461746</v>
      </c>
      <c r="AU81" s="4">
        <v>2.2485168135854741</v>
      </c>
      <c r="AV81" s="4">
        <v>2.0947798785341107</v>
      </c>
      <c r="AW81" s="4">
        <v>1.9630053627758004</v>
      </c>
      <c r="AX81" s="4">
        <v>1.8488007824519308</v>
      </c>
      <c r="AY81" s="4">
        <v>1.7488717746685454</v>
      </c>
      <c r="AZ81" s="4"/>
      <c r="BA81" s="4"/>
      <c r="BI81" s="96"/>
      <c r="BJ81" s="3">
        <v>5000</v>
      </c>
      <c r="BK81" s="63">
        <f t="shared" si="11"/>
        <v>0.78622632777027257</v>
      </c>
      <c r="BL81" s="63">
        <f t="shared" si="12"/>
        <v>0.581647285577368</v>
      </c>
      <c r="BM81" s="63">
        <f t="shared" si="13"/>
        <v>0.43250023314091229</v>
      </c>
      <c r="BN81" s="63">
        <f t="shared" si="14"/>
        <v>0.31731152205401775</v>
      </c>
      <c r="BO81" s="63">
        <f t="shared" si="15"/>
        <v>0.22532494924473873</v>
      </c>
      <c r="BP81" s="63">
        <f t="shared" si="16"/>
        <v>0.15098888014496714</v>
      </c>
      <c r="BQ81" s="63">
        <f t="shared" si="17"/>
        <v>9.1038071242371552E-2</v>
      </c>
      <c r="BR81" s="63">
        <f t="shared" si="18"/>
        <v>4.4369816909427158E-2</v>
      </c>
      <c r="BS81" s="63">
        <f t="shared" si="19"/>
        <v>1.4626296007769895E-2</v>
      </c>
      <c r="BT81" s="63"/>
      <c r="BU81" s="63" t="str">
        <f t="shared" si="20"/>
        <v/>
      </c>
    </row>
    <row r="82" spans="1:73" x14ac:dyDescent="0.25">
      <c r="A82" s="96"/>
      <c r="B82" s="3">
        <v>5500</v>
      </c>
      <c r="C82" s="37">
        <v>0.27565246818966688</v>
      </c>
      <c r="D82" s="37">
        <v>0.2555617711210138</v>
      </c>
      <c r="E82" s="37">
        <v>0.24074049091085331</v>
      </c>
      <c r="F82" s="37">
        <v>0.22946990533963885</v>
      </c>
      <c r="G82" s="37">
        <v>0.22040121367603832</v>
      </c>
      <c r="H82" s="37">
        <v>0.21311124235815651</v>
      </c>
      <c r="I82" s="37">
        <v>0.20721084760800904</v>
      </c>
      <c r="J82" s="37">
        <v>0.20253266892685842</v>
      </c>
      <c r="K82" s="37">
        <v>0.19943654225842217</v>
      </c>
      <c r="L82" s="37"/>
      <c r="M82" s="37"/>
      <c r="U82" s="96"/>
      <c r="V82" s="3">
        <v>5500</v>
      </c>
      <c r="W82" s="17">
        <v>30943924.479822759</v>
      </c>
      <c r="X82" s="17">
        <v>31513995.399439275</v>
      </c>
      <c r="Y82" s="17">
        <v>32113897.559139479</v>
      </c>
      <c r="Z82" s="17">
        <v>32701320.068447188</v>
      </c>
      <c r="AA82" s="17">
        <v>33310097.034515727</v>
      </c>
      <c r="AB82" s="17">
        <v>33943028.463605411</v>
      </c>
      <c r="AC82" s="17">
        <v>34589218.973010793</v>
      </c>
      <c r="AD82" s="17">
        <v>35284646.668062024</v>
      </c>
      <c r="AE82" s="17">
        <v>36150565.462285273</v>
      </c>
      <c r="AF82" s="17"/>
      <c r="AG82" s="17"/>
      <c r="AO82" s="96"/>
      <c r="AP82" s="3">
        <v>5500</v>
      </c>
      <c r="AQ82" s="8">
        <v>3.3047643220964273</v>
      </c>
      <c r="AR82" s="4">
        <v>2.9413546185719577</v>
      </c>
      <c r="AS82" s="4">
        <v>2.664937591496062</v>
      </c>
      <c r="AT82" s="4">
        <v>2.4463745065457716</v>
      </c>
      <c r="AU82" s="4">
        <v>2.2642386024205301</v>
      </c>
      <c r="AV82" s="4">
        <v>2.1101236066222482</v>
      </c>
      <c r="AW82" s="4">
        <v>1.9780250387951499</v>
      </c>
      <c r="AX82" s="4">
        <v>1.863539613344998</v>
      </c>
      <c r="AY82" s="4">
        <v>1.7633648660761148</v>
      </c>
      <c r="AZ82" s="4"/>
      <c r="BA82" s="4"/>
      <c r="BI82" s="96"/>
      <c r="BJ82" s="3">
        <v>5500</v>
      </c>
      <c r="BK82" s="63">
        <f t="shared" si="11"/>
        <v>0.80402535069847458</v>
      </c>
      <c r="BL82" s="63">
        <f t="shared" si="12"/>
        <v>0.59610902301384228</v>
      </c>
      <c r="BM82" s="63">
        <f t="shared" si="13"/>
        <v>0.44272528812643547</v>
      </c>
      <c r="BN82" s="63">
        <f t="shared" si="14"/>
        <v>0.32608728622860395</v>
      </c>
      <c r="BO82" s="63">
        <f t="shared" si="15"/>
        <v>0.23223643271381997</v>
      </c>
      <c r="BP82" s="63">
        <f t="shared" si="16"/>
        <v>0.15679335275691822</v>
      </c>
      <c r="BQ82" s="63">
        <f t="shared" si="17"/>
        <v>9.573084187697127E-2</v>
      </c>
      <c r="BR82" s="63">
        <f t="shared" si="18"/>
        <v>4.7316905401118471E-2</v>
      </c>
      <c r="BS82" s="63">
        <f t="shared" si="19"/>
        <v>1.5275444383216673E-2</v>
      </c>
      <c r="BT82" s="63"/>
      <c r="BU82" s="63" t="str">
        <f t="shared" si="20"/>
        <v/>
      </c>
    </row>
    <row r="83" spans="1:73" x14ac:dyDescent="0.25">
      <c r="A83" s="96"/>
      <c r="B83" s="3">
        <v>6000</v>
      </c>
      <c r="C83" s="37">
        <v>0.27732430072877601</v>
      </c>
      <c r="D83" s="37">
        <v>0.25691359093495797</v>
      </c>
      <c r="E83" s="37">
        <v>0.2417551781709969</v>
      </c>
      <c r="F83" s="37">
        <v>0.23026030152723748</v>
      </c>
      <c r="G83" s="37">
        <v>0.22107176314152824</v>
      </c>
      <c r="H83" s="37">
        <v>0.21361245812454202</v>
      </c>
      <c r="I83" s="37">
        <v>0.20755530902389729</v>
      </c>
      <c r="J83" s="37">
        <v>0.20271624885650474</v>
      </c>
      <c r="K83" s="37">
        <v>0.19945405174560088</v>
      </c>
      <c r="L83" s="37"/>
      <c r="M83" s="37"/>
      <c r="U83" s="96"/>
      <c r="V83" s="3">
        <v>6000</v>
      </c>
      <c r="W83" s="17">
        <v>30996830.589015465</v>
      </c>
      <c r="X83" s="17">
        <v>31524629.341236074</v>
      </c>
      <c r="Y83" s="17">
        <v>32102398.591631975</v>
      </c>
      <c r="Z83" s="17">
        <v>32674085.983454652</v>
      </c>
      <c r="AA83" s="17">
        <v>33250291.373149406</v>
      </c>
      <c r="AB83" s="17">
        <v>33867147.957245491</v>
      </c>
      <c r="AC83" s="17">
        <v>34495423.389608853</v>
      </c>
      <c r="AD83" s="17">
        <v>35168861.100213274</v>
      </c>
      <c r="AE83" s="17">
        <v>35984117.191954046</v>
      </c>
      <c r="AF83" s="17"/>
      <c r="AG83" s="17"/>
      <c r="AO83" s="96"/>
      <c r="AP83" s="3">
        <v>6000</v>
      </c>
      <c r="AQ83" s="8">
        <v>3.325034202207322</v>
      </c>
      <c r="AR83" s="4">
        <v>2.9592619563510985</v>
      </c>
      <c r="AS83" s="4">
        <v>2.6799218593819982</v>
      </c>
      <c r="AT83" s="4">
        <v>2.4604600833322388</v>
      </c>
      <c r="AU83" s="4">
        <v>2.2775752699574392</v>
      </c>
      <c r="AV83" s="4">
        <v>2.1228265817172245</v>
      </c>
      <c r="AW83" s="4">
        <v>1.9901848489398974</v>
      </c>
      <c r="AX83" s="4">
        <v>1.8752286805328808</v>
      </c>
      <c r="AY83" s="4">
        <v>1.7746420331767407</v>
      </c>
      <c r="AZ83" s="4"/>
      <c r="BA83" s="4"/>
      <c r="BI83" s="96"/>
      <c r="BJ83" s="3">
        <v>6000</v>
      </c>
      <c r="BK83" s="63">
        <f t="shared" si="11"/>
        <v>0.82132695456256344</v>
      </c>
      <c r="BL83" s="63">
        <f t="shared" si="12"/>
        <v>0.61009885176125456</v>
      </c>
      <c r="BM83" s="63">
        <f t="shared" si="13"/>
        <v>0.45322617060734283</v>
      </c>
      <c r="BN83" s="63">
        <f t="shared" si="14"/>
        <v>0.33426700603523279</v>
      </c>
      <c r="BO83" s="63">
        <f t="shared" si="15"/>
        <v>0.23917587249130218</v>
      </c>
      <c r="BP83" s="63">
        <f t="shared" si="16"/>
        <v>0.16198037743647056</v>
      </c>
      <c r="BQ83" s="63">
        <f t="shared" si="17"/>
        <v>9.9295633699564664E-2</v>
      </c>
      <c r="BR83" s="63">
        <f t="shared" si="18"/>
        <v>4.9216753110644725E-2</v>
      </c>
      <c r="BS83" s="63">
        <f t="shared" si="19"/>
        <v>1.5456648064771322E-2</v>
      </c>
      <c r="BT83" s="63"/>
      <c r="BU83" s="63" t="str">
        <f t="shared" si="20"/>
        <v/>
      </c>
    </row>
    <row r="84" spans="1:73" x14ac:dyDescent="0.25">
      <c r="A84" s="96"/>
      <c r="B84" s="3">
        <v>6500</v>
      </c>
      <c r="C84" s="37">
        <v>0.27925785308423867</v>
      </c>
      <c r="D84" s="37">
        <v>0.25839336495274789</v>
      </c>
      <c r="E84" s="37">
        <v>0.24287680942667805</v>
      </c>
      <c r="F84" s="37">
        <v>0.23121172305196194</v>
      </c>
      <c r="G84" s="37">
        <v>0.22182061875610468</v>
      </c>
      <c r="H84" s="37">
        <v>0.21418337334724444</v>
      </c>
      <c r="I84" s="37">
        <v>0.20796408155275609</v>
      </c>
      <c r="J84" s="37">
        <v>0.20296207249502818</v>
      </c>
      <c r="K84" s="37">
        <v>0.19953796239348096</v>
      </c>
      <c r="L84" s="37"/>
      <c r="M84" s="37"/>
      <c r="U84" s="96"/>
      <c r="V84" s="3">
        <v>6500</v>
      </c>
      <c r="W84" s="17">
        <v>31043310.207190953</v>
      </c>
      <c r="X84" s="17">
        <v>31549243.871457949</v>
      </c>
      <c r="Y84" s="17">
        <v>32103802.887500428</v>
      </c>
      <c r="Z84" s="17">
        <v>32640553.451369036</v>
      </c>
      <c r="AA84" s="17">
        <v>33201228.682069235</v>
      </c>
      <c r="AB84" s="17">
        <v>33801536.417422175</v>
      </c>
      <c r="AC84" s="17">
        <v>34411767.16622144</v>
      </c>
      <c r="AD84" s="17">
        <v>35063561.066298202</v>
      </c>
      <c r="AE84" s="17">
        <v>35829562.307749517</v>
      </c>
      <c r="AF84" s="17"/>
      <c r="AG84" s="17"/>
      <c r="AO84" s="96"/>
      <c r="AP84" s="3">
        <v>6500</v>
      </c>
      <c r="AQ84" s="8">
        <v>3.3473909076730379</v>
      </c>
      <c r="AR84" s="4">
        <v>2.9792094351863767</v>
      </c>
      <c r="AS84" s="4">
        <v>2.6965640858163176</v>
      </c>
      <c r="AT84" s="4">
        <v>2.47577183455663</v>
      </c>
      <c r="AU84" s="4">
        <v>2.2917782918402234</v>
      </c>
      <c r="AV84" s="4">
        <v>2.1360914480032647</v>
      </c>
      <c r="AW84" s="4">
        <v>2.0026455818572999</v>
      </c>
      <c r="AX84" s="4">
        <v>1.8869924978641304</v>
      </c>
      <c r="AY84" s="4">
        <v>1.7857960493701066</v>
      </c>
      <c r="AZ84" s="4"/>
      <c r="BA84" s="4"/>
      <c r="BI84" s="96"/>
      <c r="BJ84" s="3">
        <v>6500</v>
      </c>
      <c r="BK84" s="63">
        <f t="shared" si="11"/>
        <v>0.84133706689266385</v>
      </c>
      <c r="BL84" s="63">
        <f t="shared" si="12"/>
        <v>0.62541286393966034</v>
      </c>
      <c r="BM84" s="63">
        <f t="shared" si="13"/>
        <v>0.46483380427483723</v>
      </c>
      <c r="BN84" s="63">
        <f t="shared" si="14"/>
        <v>0.34411315865128467</v>
      </c>
      <c r="BO84" s="63">
        <f t="shared" si="15"/>
        <v>0.24692569365563025</v>
      </c>
      <c r="BP84" s="63">
        <f t="shared" si="16"/>
        <v>0.16788871382310341</v>
      </c>
      <c r="BQ84" s="63">
        <f t="shared" si="17"/>
        <v>0.103525973879811</v>
      </c>
      <c r="BR84" s="63">
        <f t="shared" si="18"/>
        <v>5.1760753849156363E-2</v>
      </c>
      <c r="BS84" s="63">
        <f t="shared" si="19"/>
        <v>1.6325029769061944E-2</v>
      </c>
      <c r="BT84" s="63"/>
      <c r="BU84" s="63" t="str">
        <f t="shared" si="20"/>
        <v/>
      </c>
    </row>
    <row r="85" spans="1:73" x14ac:dyDescent="0.25">
      <c r="A85" s="96"/>
      <c r="B85" s="3">
        <v>7000</v>
      </c>
      <c r="C85" s="37">
        <v>0.28127331775639813</v>
      </c>
      <c r="D85" s="37">
        <v>0.25993221829910779</v>
      </c>
      <c r="E85" s="37">
        <v>0.2440371751465398</v>
      </c>
      <c r="F85" s="37">
        <v>0.23211277333830255</v>
      </c>
      <c r="G85" s="37">
        <v>0.22244963645768834</v>
      </c>
      <c r="H85" s="37">
        <v>0.21469568818955867</v>
      </c>
      <c r="I85" s="37">
        <v>0.20831344253323503</v>
      </c>
      <c r="J85" s="37">
        <v>0.20315005006012599</v>
      </c>
      <c r="K85" s="37">
        <v>0.19948179514553457</v>
      </c>
      <c r="L85" s="37"/>
      <c r="M85" s="37"/>
      <c r="U85" s="96"/>
      <c r="V85" s="3">
        <v>7000</v>
      </c>
      <c r="W85" s="17">
        <v>31096496.658003524</v>
      </c>
      <c r="X85" s="17">
        <v>31579238.184286855</v>
      </c>
      <c r="Y85" s="17">
        <v>32108940.957793247</v>
      </c>
      <c r="Z85" s="17">
        <v>32626759.027696338</v>
      </c>
      <c r="AA85" s="17">
        <v>33187275.676705882</v>
      </c>
      <c r="AB85" s="17">
        <v>33751970.635199785</v>
      </c>
      <c r="AC85" s="17">
        <v>34343035.551544271</v>
      </c>
      <c r="AD85" s="17">
        <v>34972632.133055978</v>
      </c>
      <c r="AE85" s="17">
        <v>35722536.371499211</v>
      </c>
      <c r="AF85" s="17"/>
      <c r="AG85" s="17"/>
      <c r="AO85" s="96"/>
      <c r="AP85" s="3">
        <v>7000</v>
      </c>
      <c r="AQ85" s="8">
        <v>3.3685151273468747</v>
      </c>
      <c r="AR85" s="4">
        <v>2.9978761859103553</v>
      </c>
      <c r="AS85" s="4">
        <v>2.7116368250597405</v>
      </c>
      <c r="AT85" s="4">
        <v>2.4890878398499034</v>
      </c>
      <c r="AU85" s="4">
        <v>2.3036303521750385</v>
      </c>
      <c r="AV85" s="4">
        <v>2.1467047856809227</v>
      </c>
      <c r="AW85" s="4">
        <v>2.0121971572573947</v>
      </c>
      <c r="AX85" s="4">
        <v>1.8956238792903373</v>
      </c>
      <c r="AY85" s="4">
        <v>1.7936222610691617</v>
      </c>
      <c r="AZ85" s="4"/>
      <c r="BA85" s="4"/>
      <c r="BI85" s="96"/>
      <c r="BJ85" s="3">
        <v>7000</v>
      </c>
      <c r="BK85" s="63">
        <f t="shared" si="11"/>
        <v>0.86219488042603964</v>
      </c>
      <c r="BL85" s="63">
        <f t="shared" si="12"/>
        <v>0.64133828133692772</v>
      </c>
      <c r="BM85" s="63">
        <f t="shared" si="13"/>
        <v>0.47684229648495668</v>
      </c>
      <c r="BN85" s="63">
        <f t="shared" si="14"/>
        <v>0.35343802507851435</v>
      </c>
      <c r="BO85" s="63">
        <f t="shared" si="15"/>
        <v>0.25343532595534568</v>
      </c>
      <c r="BP85" s="63">
        <f t="shared" si="16"/>
        <v>0.17319060157086624</v>
      </c>
      <c r="BQ85" s="63">
        <f t="shared" si="17"/>
        <v>0.10714147073635455</v>
      </c>
      <c r="BR85" s="63">
        <f t="shared" si="18"/>
        <v>5.3706112185339536E-2</v>
      </c>
      <c r="BS85" s="63">
        <f t="shared" si="19"/>
        <v>1.5743761339735776E-2</v>
      </c>
      <c r="BT85" s="63"/>
      <c r="BU85" s="63" t="str">
        <f t="shared" si="20"/>
        <v/>
      </c>
    </row>
    <row r="86" spans="1:73" x14ac:dyDescent="0.25">
      <c r="A86" s="96"/>
      <c r="B86" s="3">
        <v>7500</v>
      </c>
      <c r="C86" s="37">
        <v>0.28345508034500438</v>
      </c>
      <c r="D86" s="37">
        <v>0.26161240117419587</v>
      </c>
      <c r="E86" s="37">
        <v>0.24531924185784876</v>
      </c>
      <c r="F86" s="37">
        <v>0.2331165990131375</v>
      </c>
      <c r="G86" s="37">
        <v>0.22329586492426445</v>
      </c>
      <c r="H86" s="37">
        <v>0.21528756411850239</v>
      </c>
      <c r="I86" s="37">
        <v>0.20873603646964228</v>
      </c>
      <c r="J86" s="37">
        <v>0.20340809543276545</v>
      </c>
      <c r="K86" s="37">
        <v>0.19954162515276769</v>
      </c>
      <c r="L86" s="37"/>
      <c r="M86" s="37"/>
      <c r="U86" s="96"/>
      <c r="V86" s="3">
        <v>7500</v>
      </c>
      <c r="W86" s="17">
        <v>31165518.755535379</v>
      </c>
      <c r="X86" s="17">
        <v>31624447.253171224</v>
      </c>
      <c r="Y86" s="17">
        <v>32128608.052171286</v>
      </c>
      <c r="Z86" s="17">
        <v>32626254.030348405</v>
      </c>
      <c r="AA86" s="17">
        <v>33150754.89250892</v>
      </c>
      <c r="AB86" s="17">
        <v>33714241.783730373</v>
      </c>
      <c r="AC86" s="17">
        <v>34285908.366125911</v>
      </c>
      <c r="AD86" s="17">
        <v>34893494.556689844</v>
      </c>
      <c r="AE86" s="17">
        <v>35612038.689858824</v>
      </c>
      <c r="AF86" s="17"/>
      <c r="AG86" s="17"/>
      <c r="AO86" s="96"/>
      <c r="AP86" s="3">
        <v>7500</v>
      </c>
      <c r="AQ86" s="8">
        <v>3.3917548807763658</v>
      </c>
      <c r="AR86" s="4">
        <v>3.0186085962689888</v>
      </c>
      <c r="AS86" s="4">
        <v>2.7285872860747027</v>
      </c>
      <c r="AT86" s="4">
        <v>2.5038798043294239</v>
      </c>
      <c r="AU86" s="4">
        <v>2.3166235695416919</v>
      </c>
      <c r="AV86" s="4">
        <v>2.1581759862597654</v>
      </c>
      <c r="AW86" s="4">
        <v>2.0223637720181133</v>
      </c>
      <c r="AX86" s="4">
        <v>1.9046598530086818</v>
      </c>
      <c r="AY86" s="4">
        <v>1.8016689238754295</v>
      </c>
      <c r="AZ86" s="4"/>
      <c r="BA86" s="4"/>
      <c r="BI86" s="96"/>
      <c r="BJ86" s="3">
        <v>7500</v>
      </c>
      <c r="BK86" s="63">
        <f t="shared" si="11"/>
        <v>0.88477369208959844</v>
      </c>
      <c r="BL86" s="63">
        <f t="shared" si="12"/>
        <v>0.65872630187365588</v>
      </c>
      <c r="BM86" s="63">
        <f t="shared" si="13"/>
        <v>0.49011025834567185</v>
      </c>
      <c r="BN86" s="63">
        <f t="shared" si="14"/>
        <v>0.36382650225449437</v>
      </c>
      <c r="BO86" s="63">
        <f t="shared" si="15"/>
        <v>0.26219284763572709</v>
      </c>
      <c r="BP86" s="63">
        <f t="shared" si="16"/>
        <v>0.17931585791067323</v>
      </c>
      <c r="BQ86" s="63">
        <f t="shared" si="17"/>
        <v>0.11151484708359347</v>
      </c>
      <c r="BR86" s="63">
        <f t="shared" si="18"/>
        <v>5.6376594253327125E-2</v>
      </c>
      <c r="BS86" s="63">
        <f t="shared" si="19"/>
        <v>1.6362935246282961E-2</v>
      </c>
      <c r="BT86" s="63"/>
      <c r="BU86" s="63" t="str">
        <f t="shared" si="20"/>
        <v/>
      </c>
    </row>
    <row r="87" spans="1:73" ht="14.25" customHeight="1" x14ac:dyDescent="0.25">
      <c r="A87" s="96"/>
      <c r="B87" s="3">
        <v>8000</v>
      </c>
      <c r="C87" s="37">
        <v>0.28577040685948646</v>
      </c>
      <c r="D87" s="37">
        <v>0.26350272911221073</v>
      </c>
      <c r="E87" s="37">
        <v>0.24677728728498241</v>
      </c>
      <c r="F87" s="37">
        <v>0.23419198312480052</v>
      </c>
      <c r="G87" s="37">
        <v>0.22413465677380301</v>
      </c>
      <c r="H87" s="37">
        <v>0.21592544518212098</v>
      </c>
      <c r="I87" s="37">
        <v>0.20914419411786997</v>
      </c>
      <c r="J87" s="37">
        <v>0.20365203571707041</v>
      </c>
      <c r="K87" s="37">
        <v>0.1995917536821514</v>
      </c>
      <c r="L87" s="37"/>
      <c r="M87" s="37"/>
      <c r="U87" s="96"/>
      <c r="V87" s="3">
        <v>8000</v>
      </c>
      <c r="W87" s="17">
        <v>31246494.270543203</v>
      </c>
      <c r="X87" s="17">
        <v>31660877.319489576</v>
      </c>
      <c r="Y87" s="17">
        <v>32139676.940139182</v>
      </c>
      <c r="Z87" s="17">
        <v>32634501.104175434</v>
      </c>
      <c r="AA87" s="17">
        <v>33139131.960629921</v>
      </c>
      <c r="AB87" s="17">
        <v>33682970.363452889</v>
      </c>
      <c r="AC87" s="17">
        <v>34251314.295869313</v>
      </c>
      <c r="AD87" s="17">
        <v>34836374.144259132</v>
      </c>
      <c r="AE87" s="17">
        <v>35523991.256738208</v>
      </c>
      <c r="AF87" s="17"/>
      <c r="AG87" s="17"/>
      <c r="AO87" s="96"/>
      <c r="AP87" s="3">
        <v>8000</v>
      </c>
      <c r="AQ87" s="8">
        <v>3.4154588925211953</v>
      </c>
      <c r="AR87" s="4">
        <v>3.0397536806857017</v>
      </c>
      <c r="AS87" s="4">
        <v>2.7458428346960986</v>
      </c>
      <c r="AT87" s="4">
        <v>2.5185612423905517</v>
      </c>
      <c r="AU87" s="4">
        <v>2.3291599154692628</v>
      </c>
      <c r="AV87" s="4">
        <v>2.1688972542281717</v>
      </c>
      <c r="AW87" s="4">
        <v>2.0315292588786655</v>
      </c>
      <c r="AX87" s="4">
        <v>1.9124769962424266</v>
      </c>
      <c r="AY87" s="4">
        <v>1.8083062664357177</v>
      </c>
      <c r="AZ87" s="4"/>
      <c r="BA87" s="4"/>
      <c r="BI87" s="96"/>
      <c r="BJ87" s="3">
        <v>8000</v>
      </c>
      <c r="BK87" s="63">
        <f t="shared" si="11"/>
        <v>0.9087347415562731</v>
      </c>
      <c r="BL87" s="63">
        <f t="shared" si="12"/>
        <v>0.67828908964795098</v>
      </c>
      <c r="BM87" s="63">
        <f t="shared" si="13"/>
        <v>0.50519940382285888</v>
      </c>
      <c r="BN87" s="63">
        <f t="shared" si="14"/>
        <v>0.37495552951439154</v>
      </c>
      <c r="BO87" s="63">
        <f t="shared" si="15"/>
        <v>0.27087340861635956</v>
      </c>
      <c r="BP87" s="63">
        <f t="shared" si="16"/>
        <v>0.18591721613104462</v>
      </c>
      <c r="BQ87" s="63">
        <f t="shared" si="17"/>
        <v>0.11573882393446666</v>
      </c>
      <c r="BR87" s="63">
        <f t="shared" si="18"/>
        <v>5.890110437429099E-2</v>
      </c>
      <c r="BS87" s="63">
        <f t="shared" si="19"/>
        <v>1.6881709667403218E-2</v>
      </c>
      <c r="BT87" s="63"/>
      <c r="BU87" s="63" t="str">
        <f t="shared" si="20"/>
        <v/>
      </c>
    </row>
    <row r="88" spans="1:73" x14ac:dyDescent="0.25">
      <c r="A88" s="96"/>
      <c r="B88" s="3">
        <v>8500</v>
      </c>
      <c r="C88" s="37">
        <v>0.28703847304711033</v>
      </c>
      <c r="D88" s="37">
        <v>0.26537817853916096</v>
      </c>
      <c r="E88" s="37">
        <v>0.24821490808139665</v>
      </c>
      <c r="F88" s="37">
        <v>0.2353056767239213</v>
      </c>
      <c r="G88" s="37">
        <v>0.22492800795572648</v>
      </c>
      <c r="H88" s="37">
        <v>0.21645244406207481</v>
      </c>
      <c r="I88" s="37">
        <v>0.20949558331642637</v>
      </c>
      <c r="J88" s="37">
        <v>0.20378870679963698</v>
      </c>
      <c r="K88" s="37">
        <v>0.19954077352001673</v>
      </c>
      <c r="L88" s="37"/>
      <c r="M88" s="37"/>
      <c r="U88" s="96"/>
      <c r="V88" s="3">
        <v>8500</v>
      </c>
      <c r="W88" s="17">
        <v>31210784.29258199</v>
      </c>
      <c r="X88" s="17">
        <v>31725015.512186952</v>
      </c>
      <c r="Y88" s="17">
        <v>32176130.70067025</v>
      </c>
      <c r="Z88" s="17">
        <v>32646756.821928501</v>
      </c>
      <c r="AA88" s="17">
        <v>33147125.57846472</v>
      </c>
      <c r="AB88" s="17">
        <v>33686288.169433862</v>
      </c>
      <c r="AC88" s="17">
        <v>34232505.886141218</v>
      </c>
      <c r="AD88" s="17">
        <v>34810236.174981192</v>
      </c>
      <c r="AE88" s="17">
        <v>35466433.11201486</v>
      </c>
      <c r="AF88" s="17"/>
      <c r="AG88" s="17"/>
      <c r="AO88" s="96"/>
      <c r="AP88" s="3">
        <v>8500</v>
      </c>
      <c r="AQ88" s="8">
        <v>3.4379766362725626</v>
      </c>
      <c r="AR88" s="4">
        <v>3.0596591194785958</v>
      </c>
      <c r="AS88" s="4">
        <v>2.7618097299167306</v>
      </c>
      <c r="AT88" s="4">
        <v>2.5314279955418932</v>
      </c>
      <c r="AU88" s="4">
        <v>2.3394432168961963</v>
      </c>
      <c r="AV88" s="4">
        <v>2.1769945580421441</v>
      </c>
      <c r="AW88" s="4">
        <v>2.0377528504529572</v>
      </c>
      <c r="AX88" s="4">
        <v>1.9170767038756622</v>
      </c>
      <c r="AY88" s="4">
        <v>1.8114850756205283</v>
      </c>
      <c r="AZ88" s="4"/>
      <c r="BA88" s="4"/>
      <c r="BI88" s="96"/>
      <c r="BJ88" s="3">
        <v>8500</v>
      </c>
      <c r="BK88" s="63">
        <f t="shared" si="11"/>
        <v>0.92185781359757002</v>
      </c>
      <c r="BL88" s="63">
        <f t="shared" si="12"/>
        <v>0.69769790141178689</v>
      </c>
      <c r="BM88" s="63">
        <f t="shared" si="13"/>
        <v>0.52007717713117663</v>
      </c>
      <c r="BN88" s="63">
        <f t="shared" si="14"/>
        <v>0.38648101728138207</v>
      </c>
      <c r="BO88" s="63">
        <f t="shared" si="15"/>
        <v>0.27908370932151322</v>
      </c>
      <c r="BP88" s="63">
        <f t="shared" si="16"/>
        <v>0.19137106730601836</v>
      </c>
      <c r="BQ88" s="63">
        <f t="shared" si="17"/>
        <v>0.11937531058807739</v>
      </c>
      <c r="BR88" s="63">
        <f t="shared" si="18"/>
        <v>6.0315497786865076E-2</v>
      </c>
      <c r="BS88" s="63">
        <f t="shared" si="19"/>
        <v>1.6354121796281186E-2</v>
      </c>
      <c r="BT88" s="63"/>
      <c r="BU88" s="63" t="str">
        <f t="shared" si="20"/>
        <v/>
      </c>
    </row>
    <row r="89" spans="1:73" x14ac:dyDescent="0.25">
      <c r="A89" s="96"/>
      <c r="B89" s="3">
        <v>9000</v>
      </c>
      <c r="C89" s="37">
        <v>0.28837659477568905</v>
      </c>
      <c r="D89" s="37">
        <v>0.26752202904477146</v>
      </c>
      <c r="E89" s="37">
        <v>0.24980154697175508</v>
      </c>
      <c r="F89" s="37">
        <v>0.23654629402798324</v>
      </c>
      <c r="G89" s="37">
        <v>0.2258311943154678</v>
      </c>
      <c r="H89" s="37">
        <v>0.21713635056760641</v>
      </c>
      <c r="I89" s="37">
        <v>0.20999042256385195</v>
      </c>
      <c r="J89" s="37">
        <v>0.20405899140028508</v>
      </c>
      <c r="K89" s="37">
        <v>0.19957401063813243</v>
      </c>
      <c r="L89" s="37"/>
      <c r="M89" s="37"/>
      <c r="U89" s="96"/>
      <c r="V89" s="3">
        <v>9000</v>
      </c>
      <c r="W89" s="17">
        <v>31181108.587382149</v>
      </c>
      <c r="X89" s="17">
        <v>31786297.241523743</v>
      </c>
      <c r="Y89" s="17">
        <v>32230064.605238058</v>
      </c>
      <c r="Z89" s="17">
        <v>32675192.046279058</v>
      </c>
      <c r="AA89" s="17">
        <v>33170480.903706871</v>
      </c>
      <c r="AB89" s="17">
        <v>33687204.064167127</v>
      </c>
      <c r="AC89" s="17">
        <v>34211317.62855196</v>
      </c>
      <c r="AD89" s="17">
        <v>34782031.377043739</v>
      </c>
      <c r="AE89" s="17">
        <v>35423848.081544325</v>
      </c>
      <c r="AF89" s="17"/>
      <c r="AG89" s="17"/>
      <c r="AO89" s="96"/>
      <c r="AP89" s="3">
        <v>9000</v>
      </c>
      <c r="AQ89" s="8">
        <v>3.4626583823946731</v>
      </c>
      <c r="AR89" s="4">
        <v>3.0816733011195576</v>
      </c>
      <c r="AS89" s="4">
        <v>2.7799863141110142</v>
      </c>
      <c r="AT89" s="4">
        <v>2.5461467386692829</v>
      </c>
      <c r="AU89" s="4">
        <v>2.351280425801173</v>
      </c>
      <c r="AV89" s="4">
        <v>2.1863935456820034</v>
      </c>
      <c r="AW89" s="4">
        <v>2.045061934151287</v>
      </c>
      <c r="AX89" s="4">
        <v>1.9225745374913323</v>
      </c>
      <c r="AY89" s="4">
        <v>1.8153980654138722</v>
      </c>
      <c r="AZ89" s="4"/>
      <c r="BA89" s="4"/>
      <c r="BI89" s="96"/>
      <c r="BJ89" s="3">
        <v>9000</v>
      </c>
      <c r="BK89" s="63">
        <f t="shared" si="11"/>
        <v>0.93570588242516661</v>
      </c>
      <c r="BL89" s="63">
        <f t="shared" si="12"/>
        <v>0.71988436526160804</v>
      </c>
      <c r="BM89" s="63">
        <f t="shared" si="13"/>
        <v>0.53649712166160601</v>
      </c>
      <c r="BN89" s="63">
        <f t="shared" si="14"/>
        <v>0.39932002396398403</v>
      </c>
      <c r="BO89" s="63">
        <f t="shared" si="15"/>
        <v>0.28843068172822306</v>
      </c>
      <c r="BP89" s="63">
        <f t="shared" si="16"/>
        <v>0.19844873756424067</v>
      </c>
      <c r="BQ89" s="63">
        <f t="shared" si="17"/>
        <v>0.12449634540172165</v>
      </c>
      <c r="BR89" s="63">
        <f t="shared" si="18"/>
        <v>6.3112642226623786E-2</v>
      </c>
      <c r="BS89" s="63">
        <f t="shared" si="19"/>
        <v>1.6698088932803279E-2</v>
      </c>
      <c r="BT89" s="63"/>
      <c r="BU89" s="63" t="str">
        <f t="shared" si="20"/>
        <v/>
      </c>
    </row>
    <row r="90" spans="1:73" x14ac:dyDescent="0.25">
      <c r="A90" s="96"/>
      <c r="B90" s="3">
        <v>9500</v>
      </c>
      <c r="C90" s="37">
        <v>0.28971430279761873</v>
      </c>
      <c r="D90" s="37">
        <v>0.26966926727497958</v>
      </c>
      <c r="E90" s="37">
        <v>0.25159944387591815</v>
      </c>
      <c r="F90" s="37">
        <v>0.23860412712598197</v>
      </c>
      <c r="G90" s="37">
        <v>0.22817442042131722</v>
      </c>
      <c r="H90" s="37">
        <v>0.21977436995109834</v>
      </c>
      <c r="I90" s="37">
        <v>0.21276040384054251</v>
      </c>
      <c r="J90" s="37">
        <v>0.20703014374106335</v>
      </c>
      <c r="K90" s="37">
        <v>0.20263273482132679</v>
      </c>
      <c r="L90" s="37"/>
      <c r="M90" s="37"/>
      <c r="U90" s="96"/>
      <c r="V90" s="3">
        <v>9500</v>
      </c>
      <c r="W90" s="17">
        <v>31149762.713053904</v>
      </c>
      <c r="X90" s="17">
        <v>31877615.733355787</v>
      </c>
      <c r="Y90" s="17">
        <v>32278632.75643529</v>
      </c>
      <c r="Z90" s="17">
        <v>32669568.863915164</v>
      </c>
      <c r="AA90" s="17">
        <v>33098843.437465914</v>
      </c>
      <c r="AB90" s="17">
        <v>33535765.090810146</v>
      </c>
      <c r="AC90" s="17">
        <v>34016390.700423673</v>
      </c>
      <c r="AD90" s="17">
        <v>34508750.201331675</v>
      </c>
      <c r="AE90" s="17">
        <v>35080518.683632776</v>
      </c>
      <c r="AF90" s="17"/>
      <c r="AG90" s="17"/>
      <c r="AO90" s="96"/>
      <c r="AP90" s="3">
        <v>9500</v>
      </c>
      <c r="AQ90" s="8">
        <v>3.4861885825399046</v>
      </c>
      <c r="AR90" s="4">
        <v>3.1024787011514428</v>
      </c>
      <c r="AS90" s="4">
        <v>2.7989314500012443</v>
      </c>
      <c r="AT90" s="4">
        <v>2.5762528015202593</v>
      </c>
      <c r="AU90" s="4">
        <v>2.3906872611194387</v>
      </c>
      <c r="AV90" s="4">
        <v>2.2336702653956673</v>
      </c>
      <c r="AW90" s="4">
        <v>2.0990842690610063</v>
      </c>
      <c r="AX90" s="4">
        <v>1.9824430722376332</v>
      </c>
      <c r="AY90" s="4">
        <v>1.8803820250171817</v>
      </c>
      <c r="AZ90" s="4"/>
      <c r="BA90" s="4"/>
      <c r="BI90" s="96"/>
      <c r="BJ90" s="3">
        <v>9500</v>
      </c>
      <c r="BK90" s="63">
        <f t="shared" si="11"/>
        <v>0.94954966984993705</v>
      </c>
      <c r="BL90" s="63">
        <f t="shared" si="12"/>
        <v>0.74210588828608781</v>
      </c>
      <c r="BM90" s="63">
        <f t="shared" si="13"/>
        <v>0.55510335123103216</v>
      </c>
      <c r="BN90" s="63">
        <f t="shared" si="14"/>
        <v>0.42061630349384455</v>
      </c>
      <c r="BO90" s="63">
        <f t="shared" si="15"/>
        <v>0.31268046087715706</v>
      </c>
      <c r="BP90" s="63">
        <f t="shared" si="16"/>
        <v>0.22574929864991386</v>
      </c>
      <c r="BQ90" s="63">
        <f t="shared" si="17"/>
        <v>0.15316256503743997</v>
      </c>
      <c r="BR90" s="63">
        <f t="shared" si="18"/>
        <v>9.3860758211612494E-2</v>
      </c>
      <c r="BS90" s="63">
        <f t="shared" si="19"/>
        <v>4.8352475905877289E-2</v>
      </c>
      <c r="BT90" s="63"/>
      <c r="BU90" s="63" t="str">
        <f t="shared" si="20"/>
        <v/>
      </c>
    </row>
    <row r="91" spans="1:73" x14ac:dyDescent="0.25">
      <c r="A91" s="96"/>
      <c r="B91" s="3">
        <v>10000</v>
      </c>
      <c r="C91" s="37">
        <v>0.29125059970571598</v>
      </c>
      <c r="D91" s="37">
        <v>0.27164850661912832</v>
      </c>
      <c r="E91" s="37">
        <v>0.2534171795948012</v>
      </c>
      <c r="F91" s="37">
        <v>0.24016363310227257</v>
      </c>
      <c r="G91" s="37">
        <v>0.22946781301862987</v>
      </c>
      <c r="H91" s="37">
        <v>0.22085150341253271</v>
      </c>
      <c r="I91" s="37">
        <v>0.21365395395116707</v>
      </c>
      <c r="J91" s="37">
        <v>0.20775763944340736</v>
      </c>
      <c r="K91" s="37">
        <v>0.20317999470424583</v>
      </c>
      <c r="L91" s="37"/>
      <c r="M91" s="37"/>
      <c r="O91" s="77"/>
      <c r="U91" s="96"/>
      <c r="V91" s="3">
        <v>10000</v>
      </c>
      <c r="W91" s="17">
        <v>31102638.961553987</v>
      </c>
      <c r="X91" s="17">
        <v>31913565.781672165</v>
      </c>
      <c r="Y91" s="17">
        <v>32357898.242268149</v>
      </c>
      <c r="Z91" s="17">
        <v>32708030.431544654</v>
      </c>
      <c r="AA91" s="17">
        <v>33119193.531252578</v>
      </c>
      <c r="AB91" s="17">
        <v>33539138.949662432</v>
      </c>
      <c r="AC91" s="17">
        <v>34003511.299733527</v>
      </c>
      <c r="AD91" s="17">
        <v>34478569.37523286</v>
      </c>
      <c r="AE91" s="17">
        <v>35027155.944491409</v>
      </c>
      <c r="AF91" s="17"/>
      <c r="AG91" s="17"/>
      <c r="AO91" s="96"/>
      <c r="AP91" s="3">
        <v>10000</v>
      </c>
      <c r="AQ91" s="8">
        <v>3.5119192583571213</v>
      </c>
      <c r="AR91" s="4">
        <v>3.1254252647436105</v>
      </c>
      <c r="AS91" s="4">
        <v>2.817377881502753</v>
      </c>
      <c r="AT91" s="4">
        <v>2.5930835270481554</v>
      </c>
      <c r="AU91" s="4">
        <v>2.4061715650026585</v>
      </c>
      <c r="AV91" s="4">
        <v>2.2480152894256991</v>
      </c>
      <c r="AW91" s="4">
        <v>2.1124527675025906</v>
      </c>
      <c r="AX91" s="4">
        <v>1.9949652485025644</v>
      </c>
      <c r="AY91" s="4">
        <v>1.8921636693775403</v>
      </c>
      <c r="AZ91" s="4"/>
      <c r="BA91" s="4"/>
      <c r="BI91" s="96"/>
      <c r="BJ91" s="3">
        <v>10000</v>
      </c>
      <c r="BK91" s="63">
        <f t="shared" si="11"/>
        <v>0.96544863095981415</v>
      </c>
      <c r="BL91" s="63">
        <f t="shared" si="12"/>
        <v>0.76258881004027723</v>
      </c>
      <c r="BM91" s="63">
        <f t="shared" si="13"/>
        <v>0.57391489042650556</v>
      </c>
      <c r="BN91" s="63">
        <f t="shared" si="14"/>
        <v>0.43675545259775944</v>
      </c>
      <c r="BO91" s="63">
        <f t="shared" si="15"/>
        <v>0.3260656330376252</v>
      </c>
      <c r="BP91" s="63">
        <f t="shared" si="16"/>
        <v>0.2368964297306517</v>
      </c>
      <c r="BQ91" s="63">
        <f t="shared" si="17"/>
        <v>0.16240981300342161</v>
      </c>
      <c r="BR91" s="63">
        <f t="shared" si="18"/>
        <v>0.10138952808559178</v>
      </c>
      <c r="BS91" s="63">
        <f t="shared" si="19"/>
        <v>5.4016005884793876E-2</v>
      </c>
      <c r="BT91" s="63"/>
      <c r="BU91" s="63" t="str">
        <f t="shared" si="20"/>
        <v/>
      </c>
    </row>
    <row r="92" spans="1:73" x14ac:dyDescent="0.25">
      <c r="A92" s="96"/>
      <c r="B92" s="3">
        <v>10500</v>
      </c>
      <c r="C92" s="37">
        <v>0.29270195374206381</v>
      </c>
      <c r="D92" s="37">
        <v>0.27296443730982811</v>
      </c>
      <c r="E92" s="37">
        <v>0.2554857145235776</v>
      </c>
      <c r="F92" s="37">
        <v>0.24184056602228571</v>
      </c>
      <c r="G92" s="37">
        <v>0.23086420210404793</v>
      </c>
      <c r="H92" s="37">
        <v>0.22202164516716513</v>
      </c>
      <c r="I92" s="37">
        <v>0.21469054045431402</v>
      </c>
      <c r="J92" s="37">
        <v>0.20861964366019636</v>
      </c>
      <c r="K92" s="37">
        <v>0.20385778518556125</v>
      </c>
      <c r="L92" s="37"/>
      <c r="M92" s="37"/>
      <c r="O92" s="77"/>
      <c r="U92" s="96"/>
      <c r="V92" s="3">
        <v>10500</v>
      </c>
      <c r="W92" s="17">
        <v>31079826.783680804</v>
      </c>
      <c r="X92" s="17">
        <v>31869187.611942537</v>
      </c>
      <c r="Y92" s="17">
        <v>32435787.595764678</v>
      </c>
      <c r="Z92" s="17">
        <v>32760125.270432465</v>
      </c>
      <c r="AA92" s="17">
        <v>33152448.460891768</v>
      </c>
      <c r="AB92" s="17">
        <v>33554999.180501901</v>
      </c>
      <c r="AC92" s="17">
        <v>33985906.694218963</v>
      </c>
      <c r="AD92" s="17">
        <v>34444207.09513852</v>
      </c>
      <c r="AE92" s="17">
        <v>34970636.259963721</v>
      </c>
      <c r="AF92" s="17"/>
      <c r="AG92" s="17"/>
      <c r="AO92" s="96"/>
      <c r="AP92" s="3">
        <v>10500</v>
      </c>
      <c r="AQ92" s="8">
        <v>3.5382033946849338</v>
      </c>
      <c r="AR92" s="4">
        <v>3.1488637932340859</v>
      </c>
      <c r="AS92" s="4">
        <v>2.8373921120734074</v>
      </c>
      <c r="AT92" s="4">
        <v>2.6102711305324475</v>
      </c>
      <c r="AU92" s="4">
        <v>2.4219830070125741</v>
      </c>
      <c r="AV92" s="4">
        <v>2.2626622871111426</v>
      </c>
      <c r="AW92" s="4">
        <v>2.1261016700527726</v>
      </c>
      <c r="AX92" s="4">
        <v>2.0077491352688521</v>
      </c>
      <c r="AY92" s="4">
        <v>1.9041906673329212</v>
      </c>
      <c r="AZ92" s="4"/>
      <c r="BA92" s="4"/>
      <c r="BI92" s="96"/>
      <c r="BJ92" s="3">
        <v>10500</v>
      </c>
      <c r="BK92" s="63">
        <f t="shared" si="11"/>
        <v>0.98046852799855533</v>
      </c>
      <c r="BL92" s="63">
        <f t="shared" si="12"/>
        <v>0.77620722635320338</v>
      </c>
      <c r="BM92" s="63">
        <f t="shared" si="13"/>
        <v>0.59532192197991174</v>
      </c>
      <c r="BN92" s="63">
        <f t="shared" si="14"/>
        <v>0.45410983972087254</v>
      </c>
      <c r="BO92" s="63">
        <f t="shared" si="15"/>
        <v>0.34051670408144785</v>
      </c>
      <c r="BP92" s="63">
        <f t="shared" si="16"/>
        <v>0.24900609300725482</v>
      </c>
      <c r="BQ92" s="63">
        <f t="shared" si="17"/>
        <v>0.17313732824718298</v>
      </c>
      <c r="BR92" s="63">
        <f t="shared" si="18"/>
        <v>0.11031031120182701</v>
      </c>
      <c r="BS92" s="63">
        <f t="shared" si="19"/>
        <v>6.103038210743772E-2</v>
      </c>
      <c r="BT92" s="63"/>
      <c r="BU92" s="63" t="str">
        <f t="shared" si="20"/>
        <v/>
      </c>
    </row>
    <row r="93" spans="1:73" x14ac:dyDescent="0.25">
      <c r="A93" s="96"/>
      <c r="B93" s="3">
        <v>11000</v>
      </c>
      <c r="C93" s="37">
        <v>0.29392530146399976</v>
      </c>
      <c r="D93" s="37">
        <v>0.27400921789154964</v>
      </c>
      <c r="E93" s="37">
        <v>0.25646402426753268</v>
      </c>
      <c r="F93" s="37">
        <v>0.24258489386380189</v>
      </c>
      <c r="G93" s="37">
        <v>0.23160446021393954</v>
      </c>
      <c r="H93" s="37">
        <v>0.22263258835333552</v>
      </c>
      <c r="I93" s="37">
        <v>0.21525114633642328</v>
      </c>
      <c r="J93" s="37">
        <v>0.2091373473147716</v>
      </c>
      <c r="K93" s="37">
        <v>0.20434054511610766</v>
      </c>
      <c r="L93" s="37"/>
      <c r="M93" s="37"/>
      <c r="U93" s="96"/>
      <c r="V93" s="3">
        <v>11000</v>
      </c>
      <c r="W93" s="17">
        <v>31031179.572758395</v>
      </c>
      <c r="X93" s="17">
        <v>31824720.717317674</v>
      </c>
      <c r="Y93" s="17">
        <v>32373043.883986205</v>
      </c>
      <c r="Z93" s="17">
        <v>32713594.623371772</v>
      </c>
      <c r="AA93" s="17">
        <v>33089924.499248601</v>
      </c>
      <c r="AB93" s="17">
        <v>33512094.934233859</v>
      </c>
      <c r="AC93" s="17">
        <v>33943897.023516431</v>
      </c>
      <c r="AD93" s="17">
        <v>34402641.93274577</v>
      </c>
      <c r="AE93" s="17">
        <v>34929324.01195021</v>
      </c>
      <c r="AF93" s="17"/>
      <c r="AG93" s="17"/>
      <c r="AO93" s="96"/>
      <c r="AP93" s="3">
        <v>11000</v>
      </c>
      <c r="AQ93" s="8">
        <v>3.5633950043322842</v>
      </c>
      <c r="AR93" s="4">
        <v>3.1711460017122981</v>
      </c>
      <c r="AS93" s="4">
        <v>2.8573467996163089</v>
      </c>
      <c r="AT93" s="4">
        <v>2.6261622796796598</v>
      </c>
      <c r="AU93" s="4">
        <v>2.4364671436579446</v>
      </c>
      <c r="AV93" s="4">
        <v>2.2759558747164927</v>
      </c>
      <c r="AW93" s="4">
        <v>2.1383747870523919</v>
      </c>
      <c r="AX93" s="4">
        <v>2.0191378444101704</v>
      </c>
      <c r="AY93" s="4">
        <v>1.9148055195982263</v>
      </c>
      <c r="AZ93" s="4"/>
      <c r="BA93" s="4"/>
      <c r="BI93" s="96"/>
      <c r="BJ93" s="3">
        <v>11000</v>
      </c>
      <c r="BK93" s="63">
        <f t="shared" si="11"/>
        <v>0.99312881374957307</v>
      </c>
      <c r="BL93" s="63">
        <f t="shared" si="12"/>
        <v>0.78701954117958572</v>
      </c>
      <c r="BM93" s="63">
        <f t="shared" si="13"/>
        <v>0.60544633770357525</v>
      </c>
      <c r="BN93" s="63">
        <f t="shared" si="14"/>
        <v>0.46181280347930465</v>
      </c>
      <c r="BO93" s="63">
        <f t="shared" si="15"/>
        <v>0.34817755065244993</v>
      </c>
      <c r="BP93" s="63">
        <f t="shared" si="16"/>
        <v>0.25532867421279642</v>
      </c>
      <c r="BQ93" s="63">
        <f t="shared" si="17"/>
        <v>0.17893897444632986</v>
      </c>
      <c r="BR93" s="63">
        <f t="shared" si="18"/>
        <v>0.11566796715176129</v>
      </c>
      <c r="BS93" s="63">
        <f t="shared" si="19"/>
        <v>6.6026409451312676E-2</v>
      </c>
      <c r="BT93" s="63"/>
      <c r="BU93" s="63" t="str">
        <f t="shared" si="20"/>
        <v/>
      </c>
    </row>
    <row r="94" spans="1:73" x14ac:dyDescent="0.25">
      <c r="A94" s="96"/>
      <c r="B94" s="3">
        <v>11500</v>
      </c>
      <c r="C94" s="37">
        <v>0.29414810809171527</v>
      </c>
      <c r="D94" s="37">
        <v>0.27417264623228466</v>
      </c>
      <c r="E94" s="37">
        <v>0.25758253593303426</v>
      </c>
      <c r="F94" s="37">
        <v>0.24344649672231838</v>
      </c>
      <c r="G94" s="37">
        <v>0.23227337076624463</v>
      </c>
      <c r="H94" s="37">
        <v>0.22314740226327537</v>
      </c>
      <c r="I94" s="37">
        <v>0.21563825123624653</v>
      </c>
      <c r="J94" s="37">
        <v>0.20946225812198777</v>
      </c>
      <c r="K94" s="37">
        <v>0.20453273720820753</v>
      </c>
      <c r="L94" s="37"/>
      <c r="M94" s="37"/>
      <c r="O94" s="77"/>
      <c r="U94" s="96"/>
      <c r="V94" s="3">
        <v>11500</v>
      </c>
      <c r="W94" s="17">
        <v>31054702.394510061</v>
      </c>
      <c r="X94" s="17">
        <v>31843702.054300446</v>
      </c>
      <c r="Y94" s="17">
        <v>32514231.823836438</v>
      </c>
      <c r="Z94" s="17">
        <v>32829785.397623658</v>
      </c>
      <c r="AA94" s="17">
        <v>33185493.469086573</v>
      </c>
      <c r="AB94" s="17">
        <v>33589588.048566192</v>
      </c>
      <c r="AC94" s="17">
        <v>34004941.292411342</v>
      </c>
      <c r="AD94" s="17">
        <v>34430641.430230096</v>
      </c>
      <c r="AE94" s="17">
        <v>34937327.97830262</v>
      </c>
      <c r="AF94" s="17"/>
      <c r="AG94" s="17"/>
      <c r="AO94" s="96"/>
      <c r="AP94" s="3">
        <v>11500</v>
      </c>
      <c r="AQ94" s="8">
        <v>3.56406867012406</v>
      </c>
      <c r="AR94" s="4">
        <v>3.1718196675040735</v>
      </c>
      <c r="AS94" s="4">
        <v>2.8580204654080847</v>
      </c>
      <c r="AT94" s="4">
        <v>2.6268359454714356</v>
      </c>
      <c r="AU94" s="4">
        <v>2.4371408094497204</v>
      </c>
      <c r="AV94" s="4">
        <v>2.2766295405082686</v>
      </c>
      <c r="AW94" s="4">
        <v>2.1390484528441673</v>
      </c>
      <c r="AX94" s="4">
        <v>2.0198115102019463</v>
      </c>
      <c r="AY94" s="4">
        <v>1.9154791853900024</v>
      </c>
      <c r="AZ94" s="4"/>
      <c r="BA94" s="4"/>
      <c r="BI94" s="96"/>
      <c r="BJ94" s="3">
        <v>11500</v>
      </c>
      <c r="BK94" s="63">
        <f t="shared" si="11"/>
        <v>0.99543461407397715</v>
      </c>
      <c r="BL94" s="63">
        <f t="shared" si="12"/>
        <v>0.78871084239870748</v>
      </c>
      <c r="BM94" s="63">
        <f t="shared" si="13"/>
        <v>0.61702168708885685</v>
      </c>
      <c r="BN94" s="63">
        <f t="shared" si="14"/>
        <v>0.47072943298465125</v>
      </c>
      <c r="BO94" s="63">
        <f t="shared" si="15"/>
        <v>0.35510002950470293</v>
      </c>
      <c r="BP94" s="63">
        <f t="shared" si="16"/>
        <v>0.26065642452578425</v>
      </c>
      <c r="BQ94" s="63">
        <f t="shared" si="17"/>
        <v>0.18294507881020258</v>
      </c>
      <c r="BR94" s="63">
        <f t="shared" si="18"/>
        <v>0.11903043195975632</v>
      </c>
      <c r="BS94" s="63">
        <f t="shared" si="19"/>
        <v>6.8015383445738112E-2</v>
      </c>
      <c r="BT94" s="63"/>
      <c r="BU94" s="63" t="str">
        <f t="shared" si="20"/>
        <v/>
      </c>
    </row>
    <row r="95" spans="1:73" x14ac:dyDescent="0.25">
      <c r="A95" s="96"/>
      <c r="B95" s="3">
        <v>12000</v>
      </c>
      <c r="C95" s="37">
        <v>0.2943443181860057</v>
      </c>
      <c r="D95" s="37">
        <v>0.27430890843839695</v>
      </c>
      <c r="E95" s="37">
        <v>0.25844189390009698</v>
      </c>
      <c r="F95" s="37">
        <v>0.24436817523114462</v>
      </c>
      <c r="G95" s="37">
        <v>0.2329923674085525</v>
      </c>
      <c r="H95" s="37">
        <v>0.22370554582119176</v>
      </c>
      <c r="I95" s="37">
        <v>0.21606424954086129</v>
      </c>
      <c r="J95" s="37">
        <v>0.2097183811781746</v>
      </c>
      <c r="K95" s="37">
        <v>0.20466488144310233</v>
      </c>
      <c r="L95" s="37"/>
      <c r="M95" s="37"/>
      <c r="U95" s="96"/>
      <c r="V95" s="3">
        <v>12000</v>
      </c>
      <c r="W95" s="17">
        <v>31075417.285809267</v>
      </c>
      <c r="X95" s="17">
        <v>31859528.188498478</v>
      </c>
      <c r="Y95" s="17">
        <v>32622707.206530873</v>
      </c>
      <c r="Z95" s="17">
        <v>32954077.626338214</v>
      </c>
      <c r="AA95" s="17">
        <v>33288218.367334232</v>
      </c>
      <c r="AB95" s="17">
        <v>33673603.421329767</v>
      </c>
      <c r="AC95" s="17">
        <v>34072118.83283399</v>
      </c>
      <c r="AD95" s="17">
        <v>34498220.748342812</v>
      </c>
      <c r="AE95" s="17">
        <v>34984765.033936352</v>
      </c>
      <c r="AF95" s="17"/>
      <c r="AG95" s="17"/>
      <c r="AO95" s="96"/>
      <c r="AP95" s="3">
        <v>12000</v>
      </c>
      <c r="AQ95" s="8">
        <v>3.5630756692491694</v>
      </c>
      <c r="AR95" s="4">
        <v>3.1708266666291833</v>
      </c>
      <c r="AS95" s="4">
        <v>2.8570274645331941</v>
      </c>
      <c r="AT95" s="4">
        <v>2.6258429445965454</v>
      </c>
      <c r="AU95" s="4">
        <v>2.4361478085748298</v>
      </c>
      <c r="AV95" s="4">
        <v>2.275636539633378</v>
      </c>
      <c r="AW95" s="4">
        <v>2.1380554519692767</v>
      </c>
      <c r="AX95" s="4">
        <v>2.0188185093270556</v>
      </c>
      <c r="AY95" s="4">
        <v>1.9144861845151118</v>
      </c>
      <c r="AZ95" s="4"/>
      <c r="BA95" s="4"/>
      <c r="BI95" s="96"/>
      <c r="BJ95" s="3">
        <v>12000</v>
      </c>
      <c r="BK95" s="63">
        <f t="shared" si="11"/>
        <v>0.99746516991383283</v>
      </c>
      <c r="BL95" s="63">
        <f t="shared" si="12"/>
        <v>0.79012100439558897</v>
      </c>
      <c r="BM95" s="63">
        <f t="shared" si="13"/>
        <v>0.62591508446912947</v>
      </c>
      <c r="BN95" s="63">
        <f t="shared" si="14"/>
        <v>0.48026777852866909</v>
      </c>
      <c r="BO95" s="63">
        <f t="shared" si="15"/>
        <v>0.36254084357777361</v>
      </c>
      <c r="BP95" s="63">
        <f t="shared" si="16"/>
        <v>0.26643258841329198</v>
      </c>
      <c r="BQ95" s="63">
        <f t="shared" si="17"/>
        <v>0.18735368657491658</v>
      </c>
      <c r="BR95" s="63">
        <f t="shared" si="18"/>
        <v>0.12168102019448802</v>
      </c>
      <c r="BS95" s="63">
        <f t="shared" si="19"/>
        <v>6.9382929029155938E-2</v>
      </c>
      <c r="BT95" s="63"/>
      <c r="BU95" s="63" t="str">
        <f t="shared" si="20"/>
        <v/>
      </c>
    </row>
    <row r="96" spans="1:73" x14ac:dyDescent="0.25">
      <c r="A96" s="96"/>
      <c r="B96" s="3">
        <v>12500</v>
      </c>
      <c r="C96" s="37">
        <v>0.2945892556757585</v>
      </c>
      <c r="D96" s="37">
        <v>0.27449430639297601</v>
      </c>
      <c r="E96" s="37">
        <v>0.25858055575791777</v>
      </c>
      <c r="F96" s="37">
        <v>0.24542955679140663</v>
      </c>
      <c r="G96" s="37">
        <v>0.23384026562351096</v>
      </c>
      <c r="H96" s="37">
        <v>0.22438512249405276</v>
      </c>
      <c r="I96" s="37">
        <v>0.21660662082532053</v>
      </c>
      <c r="J96" s="37">
        <v>0.21014066682626945</v>
      </c>
      <c r="K96" s="37">
        <v>0.20495958479946944</v>
      </c>
      <c r="L96" s="37"/>
      <c r="M96" s="37"/>
      <c r="U96" s="96"/>
      <c r="V96" s="3">
        <v>12500</v>
      </c>
      <c r="W96" s="17">
        <v>31101276.574515488</v>
      </c>
      <c r="X96" s="17">
        <v>31881061.179875348</v>
      </c>
      <c r="Y96" s="17">
        <v>32640210.271224208</v>
      </c>
      <c r="Z96" s="17">
        <v>33097209.39992106</v>
      </c>
      <c r="AA96" s="17">
        <v>33409359.764568575</v>
      </c>
      <c r="AB96" s="17">
        <v>33775897.690755703</v>
      </c>
      <c r="AC96" s="17">
        <v>34157647.738679737</v>
      </c>
      <c r="AD96" s="17">
        <v>34567685.825390384</v>
      </c>
      <c r="AE96" s="17">
        <v>35035140.690006502</v>
      </c>
      <c r="AF96" s="17"/>
      <c r="AG96" s="17"/>
      <c r="AO96" s="96"/>
      <c r="AP96" s="3">
        <v>12500</v>
      </c>
      <c r="AQ96" s="8">
        <v>3.5637493350409457</v>
      </c>
      <c r="AR96" s="4">
        <v>3.1715003324209587</v>
      </c>
      <c r="AS96" s="4">
        <v>2.85770113032497</v>
      </c>
      <c r="AT96" s="4">
        <v>2.6265166103883213</v>
      </c>
      <c r="AU96" s="4">
        <v>2.4368214743666057</v>
      </c>
      <c r="AV96" s="4">
        <v>2.2763102054251543</v>
      </c>
      <c r="AW96" s="4">
        <v>2.1387291177610526</v>
      </c>
      <c r="AX96" s="4">
        <v>2.0194921751188315</v>
      </c>
      <c r="AY96" s="4">
        <v>1.9151598503068876</v>
      </c>
      <c r="AZ96" s="4"/>
      <c r="BA96" s="4"/>
      <c r="BI96" s="96"/>
      <c r="BJ96" s="3">
        <v>12500</v>
      </c>
      <c r="BK96" s="63">
        <f t="shared" si="11"/>
        <v>1</v>
      </c>
      <c r="BL96" s="63">
        <f t="shared" si="12"/>
        <v>0.79203966663735181</v>
      </c>
      <c r="BM96" s="63">
        <f t="shared" si="13"/>
        <v>0.62735008018727267</v>
      </c>
      <c r="BN96" s="63">
        <f t="shared" si="14"/>
        <v>0.49125189498454758</v>
      </c>
      <c r="BO96" s="63">
        <f t="shared" si="15"/>
        <v>0.37131564529331884</v>
      </c>
      <c r="BP96" s="63">
        <f t="shared" si="16"/>
        <v>0.27346544972808723</v>
      </c>
      <c r="BQ96" s="63">
        <f t="shared" si="17"/>
        <v>0.19296662500711823</v>
      </c>
      <c r="BR96" s="63">
        <f t="shared" si="18"/>
        <v>0.12605120610121787</v>
      </c>
      <c r="BS96" s="63">
        <f t="shared" si="19"/>
        <v>7.2432780380893666E-2</v>
      </c>
      <c r="BT96" s="63"/>
      <c r="BU96" s="63" t="str">
        <f t="shared" si="20"/>
        <v/>
      </c>
    </row>
    <row r="97" spans="1:80" s="1" customFormat="1" x14ac:dyDescent="0.25">
      <c r="T97" s="33"/>
      <c r="CB97" s="19"/>
    </row>
    <row r="98" spans="1:80" s="1" customFormat="1" x14ac:dyDescent="0.25">
      <c r="T98" s="33"/>
      <c r="CB98" s="19"/>
    </row>
    <row r="99" spans="1:80" x14ac:dyDescent="0.25">
      <c r="A99" s="22" t="s">
        <v>430</v>
      </c>
      <c r="U99" s="22" t="s">
        <v>407</v>
      </c>
      <c r="AO99" s="22" t="s">
        <v>318</v>
      </c>
      <c r="BI99" s="22" t="s">
        <v>447</v>
      </c>
    </row>
    <row r="100" spans="1:80" x14ac:dyDescent="0.25">
      <c r="C100" s="97" t="s">
        <v>174</v>
      </c>
      <c r="D100" s="97"/>
      <c r="E100" s="97"/>
      <c r="F100" s="97"/>
      <c r="G100" s="97"/>
      <c r="H100" s="97"/>
      <c r="I100" s="97"/>
      <c r="J100" s="97"/>
      <c r="K100" s="97"/>
      <c r="L100" s="85"/>
      <c r="W100" s="97" t="s">
        <v>174</v>
      </c>
      <c r="X100" s="97"/>
      <c r="Y100" s="97"/>
      <c r="Z100" s="97"/>
      <c r="AA100" s="97"/>
      <c r="AB100" s="97"/>
      <c r="AC100" s="97"/>
      <c r="AD100" s="97"/>
      <c r="AE100" s="97"/>
      <c r="AF100" s="85"/>
      <c r="AG100" s="32"/>
      <c r="AH100" s="32"/>
      <c r="AQ100" s="97" t="s">
        <v>174</v>
      </c>
      <c r="AR100" s="97"/>
      <c r="AS100" s="97"/>
      <c r="AT100" s="97"/>
      <c r="AU100" s="97"/>
      <c r="AV100" s="97"/>
      <c r="AW100" s="97"/>
      <c r="AX100" s="97"/>
      <c r="AY100" s="97"/>
      <c r="AZ100" s="85"/>
      <c r="BK100" s="97" t="s">
        <v>174</v>
      </c>
      <c r="BL100" s="97"/>
      <c r="BM100" s="97"/>
      <c r="BN100" s="97"/>
      <c r="BO100" s="97"/>
      <c r="BP100" s="97"/>
      <c r="BQ100" s="97"/>
      <c r="BR100" s="97"/>
      <c r="BS100" s="97"/>
      <c r="BT100" s="85"/>
    </row>
    <row r="101" spans="1:80" x14ac:dyDescent="0.25">
      <c r="C101" s="3">
        <v>0.4</v>
      </c>
      <c r="D101" s="3">
        <v>0.45</v>
      </c>
      <c r="E101" s="3">
        <v>0.5</v>
      </c>
      <c r="F101" s="3">
        <v>0.55000000000000004</v>
      </c>
      <c r="G101" s="3">
        <v>0.6</v>
      </c>
      <c r="H101" s="3">
        <v>0.65</v>
      </c>
      <c r="I101" s="3">
        <v>0.7</v>
      </c>
      <c r="J101" s="3">
        <v>0.75</v>
      </c>
      <c r="K101" s="3">
        <v>0.8</v>
      </c>
      <c r="L101" s="3">
        <v>0.85</v>
      </c>
      <c r="M101" s="3">
        <v>0.9</v>
      </c>
      <c r="W101" s="3">
        <v>0.4</v>
      </c>
      <c r="X101" s="3">
        <v>0.45</v>
      </c>
      <c r="Y101" s="3">
        <v>0.5</v>
      </c>
      <c r="Z101" s="3">
        <v>0.55000000000000004</v>
      </c>
      <c r="AA101" s="3">
        <v>0.6</v>
      </c>
      <c r="AB101" s="3">
        <v>0.65</v>
      </c>
      <c r="AC101" s="3">
        <v>0.7</v>
      </c>
      <c r="AD101" s="3">
        <v>0.75</v>
      </c>
      <c r="AE101" s="3">
        <v>0.8</v>
      </c>
      <c r="AF101" s="3">
        <v>0.85</v>
      </c>
      <c r="AG101" s="3">
        <v>0.9</v>
      </c>
      <c r="AQ101" s="3">
        <v>0.4</v>
      </c>
      <c r="AR101" s="3">
        <v>0.45</v>
      </c>
      <c r="AS101" s="3">
        <v>0.5</v>
      </c>
      <c r="AT101" s="3">
        <v>0.55000000000000004</v>
      </c>
      <c r="AU101" s="3">
        <v>0.6</v>
      </c>
      <c r="AV101" s="3">
        <v>0.65</v>
      </c>
      <c r="AW101" s="3">
        <v>0.7</v>
      </c>
      <c r="AX101" s="3">
        <v>0.75</v>
      </c>
      <c r="AY101" s="3">
        <v>0.8</v>
      </c>
      <c r="AZ101" s="3">
        <v>0.85</v>
      </c>
      <c r="BA101" s="3">
        <v>0.9</v>
      </c>
      <c r="BK101" s="3">
        <v>0.4</v>
      </c>
      <c r="BL101" s="3">
        <v>0.45</v>
      </c>
      <c r="BM101" s="3">
        <v>0.5</v>
      </c>
      <c r="BN101" s="3">
        <v>0.55000000000000004</v>
      </c>
      <c r="BO101" s="3">
        <v>0.6</v>
      </c>
      <c r="BP101" s="3">
        <v>0.65</v>
      </c>
      <c r="BQ101" s="3">
        <v>0.7</v>
      </c>
      <c r="BR101" s="3">
        <v>0.75</v>
      </c>
      <c r="BS101" s="3">
        <v>0.8</v>
      </c>
      <c r="BT101" s="3">
        <v>0.85</v>
      </c>
      <c r="BU101" s="3">
        <v>0.9</v>
      </c>
    </row>
    <row r="102" spans="1:80" x14ac:dyDescent="0.25">
      <c r="A102" s="96" t="s">
        <v>175</v>
      </c>
      <c r="B102" s="3">
        <v>3000</v>
      </c>
      <c r="C102" s="37">
        <f t="shared" ref="C102:C121" si="21">IF(w_co2*((W102-$AJ$102)/$AJ$104)+w_resource*((C52-$P$52)/$P$54)&gt;=0,w_co2*((W102-$AJ$102)/$AJ$104)+w_resource*((C52-$P$52)/$P$54),"")</f>
        <v>5.3332601521207543E-2</v>
      </c>
      <c r="D102" s="37">
        <f t="shared" ref="D102:D121" si="22">IF(w_co2*((X102-$AJ$102)/$AJ$104)+w_resource*((D52-$P$52)/$P$54)&gt;=0,w_co2*((X102-$AJ$102)/$AJ$104)+w_resource*((D52-$P$52)/$P$54),"")</f>
        <v>2.3400844691407813E-2</v>
      </c>
      <c r="E102" s="37">
        <f t="shared" ref="E102:E121" si="23">IF(w_co2*((Y102-$AJ$102)/$AJ$104)+w_resource*((E52-$P$52)/$P$54)&gt;=0,w_co2*((Y102-$AJ$102)/$AJ$104)+w_resource*((E52-$P$52)/$P$54),"")</f>
        <v>1.1779333787859947E-2</v>
      </c>
      <c r="F102" s="37">
        <f t="shared" ref="F102:F121" si="24">IF(w_co2*((Z102-$AJ$102)/$AJ$104)+w_resource*((F52-$P$52)/$P$54)&gt;=0,w_co2*((Z102-$AJ$102)/$AJ$104)+w_resource*((F52-$P$52)/$P$54),"")</f>
        <v>1.1139783481738243E-2</v>
      </c>
      <c r="G102" s="37">
        <f t="shared" ref="G102:G121" si="25">IF(w_co2*((AA102-$AJ$102)/$AJ$104)+w_resource*((G52-$P$52)/$P$54)&gt;=0,w_co2*((AA102-$AJ$102)/$AJ$104)+w_resource*((G52-$P$52)/$P$54),"")</f>
        <v>1.8473530153246091E-2</v>
      </c>
      <c r="H102" s="37">
        <f t="shared" ref="H102:H121" si="26">IF(w_co2*((AB102-$AJ$102)/$AJ$104)+w_resource*((H52-$P$52)/$P$54)&gt;=0,w_co2*((AB102-$AJ$102)/$AJ$104)+w_resource*((H52-$P$52)/$P$54),"")</f>
        <v>3.4797939740574373E-2</v>
      </c>
      <c r="I102" s="37">
        <f t="shared" ref="I102:I121" si="27">IF(w_co2*((AC102-$AJ$102)/$AJ$104)+w_resource*((I52-$P$52)/$P$54)&gt;=0,w_co2*((AC102-$AJ$102)/$AJ$104)+w_resource*((I52-$P$52)/$P$54),"")</f>
        <v>5.8163748750930833E-2</v>
      </c>
      <c r="J102" s="37">
        <f t="shared" ref="J102:J121" si="28">IF(w_co2*((AD102-$AJ$102)/$AJ$104)+w_resource*((J52-$P$52)/$P$54)&gt;=0,w_co2*((AD102-$AJ$102)/$AJ$104)+w_resource*((J52-$P$52)/$P$54),"")</f>
        <v>9.2252821123246995E-2</v>
      </c>
      <c r="K102" s="37">
        <f t="shared" ref="K102:K121" si="29">IF(w_co2*((AE102-$AJ$102)/$AJ$104)+w_resource*((K52-$P$52)/$P$54)&gt;=0,w_co2*((AE102-$AJ$102)/$AJ$104)+w_resource*((K52-$P$52)/$P$54),"")</f>
        <v>0.1551457106687317</v>
      </c>
      <c r="L102" s="37" t="str">
        <f t="shared" ref="L102:M121" si="30">IF(w_co2*((AF102-$AJ$102)/$AJ$104)+w_resource*((L52-$P$52)/$P$54)&gt;=0,w_co2*((AF102-$AJ$102)/$AJ$104)+w_resource*((L52-$P$52)/$P$54),"")</f>
        <v/>
      </c>
      <c r="M102" s="37" t="str">
        <f t="shared" si="30"/>
        <v/>
      </c>
      <c r="U102" s="96" t="s">
        <v>175</v>
      </c>
      <c r="V102" s="3">
        <v>3000</v>
      </c>
      <c r="W102" s="63">
        <v>0.11782659185737938</v>
      </c>
      <c r="X102" s="63">
        <v>0.10608065850386403</v>
      </c>
      <c r="Y102" s="63">
        <v>0.10125412816889505</v>
      </c>
      <c r="Z102" s="63">
        <v>0.10052070400695279</v>
      </c>
      <c r="AA102" s="63">
        <v>0.1026639186564188</v>
      </c>
      <c r="AB102" s="63">
        <v>0.10791001157550115</v>
      </c>
      <c r="AC102" s="63">
        <v>0.11536399453607658</v>
      </c>
      <c r="AD102" s="63">
        <v>0.12600066296922435</v>
      </c>
      <c r="AE102" s="63">
        <v>0.14494907760684833</v>
      </c>
      <c r="AF102" s="63"/>
      <c r="AG102" s="37"/>
      <c r="AI102" t="s">
        <v>176</v>
      </c>
      <c r="AJ102" s="17">
        <f>MIN(W102:AF121)</f>
        <v>9.6819540473165724E-2</v>
      </c>
      <c r="AO102" s="96" t="s">
        <v>175</v>
      </c>
      <c r="AP102" s="3">
        <v>3000</v>
      </c>
      <c r="AQ102" s="62">
        <v>13.378528586072715</v>
      </c>
      <c r="AR102" s="62">
        <v>13.633019953869178</v>
      </c>
      <c r="AS102" s="62">
        <v>14.491859855234448</v>
      </c>
      <c r="AT102" s="62">
        <v>15.852124117117857</v>
      </c>
      <c r="AU102" s="62">
        <v>17.720010743138861</v>
      </c>
      <c r="AV102" s="62">
        <v>20.306030052189481</v>
      </c>
      <c r="AW102" s="62">
        <v>23.648461210086712</v>
      </c>
      <c r="AX102" s="62">
        <v>28.189354628019188</v>
      </c>
      <c r="AY102" s="62">
        <v>35.711447406830544</v>
      </c>
      <c r="AZ102" s="62"/>
      <c r="BA102" s="4"/>
      <c r="BI102" s="96" t="s">
        <v>175</v>
      </c>
      <c r="BJ102" s="3">
        <v>3000</v>
      </c>
      <c r="BK102" s="62">
        <v>0.4800634359327875</v>
      </c>
      <c r="BL102" s="62">
        <v>0.49089238948755121</v>
      </c>
      <c r="BM102" s="62">
        <v>0.52743719445830606</v>
      </c>
      <c r="BN102" s="62">
        <v>0.58531828740728709</v>
      </c>
      <c r="BO102" s="62">
        <v>0.66479940181161989</v>
      </c>
      <c r="BP102" s="62">
        <v>0.7748380378247216</v>
      </c>
      <c r="BQ102" s="62">
        <v>0.9170630259736805</v>
      </c>
      <c r="BR102" s="62">
        <v>1.1102842120032625</v>
      </c>
      <c r="BS102" s="62">
        <v>1.4303594823028787</v>
      </c>
      <c r="BT102" s="62"/>
      <c r="BU102" s="62"/>
    </row>
    <row r="103" spans="1:80" x14ac:dyDescent="0.25">
      <c r="A103" s="96"/>
      <c r="B103" s="3">
        <v>3500</v>
      </c>
      <c r="C103" s="37">
        <f t="shared" si="21"/>
        <v>6.1801941594066143E-2</v>
      </c>
      <c r="D103" s="37">
        <f t="shared" si="22"/>
        <v>2.6981905142994263E-2</v>
      </c>
      <c r="E103" s="37">
        <f>IF(w_co2*((Y103-$AJ$102)/$AJ$104)+w_resource*((E53-$P$52)/$P$54)&gt;=0,w_co2*((Y103-$AJ$102)/$AJ$104)+w_resource*((E53-$P$52)/$P$54),"")</f>
        <v>1.1710632105021154E-2</v>
      </c>
      <c r="F103" s="37">
        <f t="shared" si="24"/>
        <v>8.1115448042954758E-3</v>
      </c>
      <c r="G103" s="37">
        <f t="shared" si="25"/>
        <v>1.2804898274339411E-2</v>
      </c>
      <c r="H103" s="37">
        <f t="shared" si="26"/>
        <v>2.6417003117106187E-2</v>
      </c>
      <c r="I103" s="37">
        <f t="shared" si="27"/>
        <v>4.6897023517804157E-2</v>
      </c>
      <c r="J103" s="37">
        <f t="shared" si="28"/>
        <v>7.7527055080322149E-2</v>
      </c>
      <c r="K103" s="37">
        <f t="shared" si="29"/>
        <v>0.13503711986217301</v>
      </c>
      <c r="L103" s="37" t="str">
        <f t="shared" si="30"/>
        <v/>
      </c>
      <c r="M103" s="37" t="str">
        <f t="shared" si="30"/>
        <v/>
      </c>
      <c r="U103" s="96"/>
      <c r="V103" s="3">
        <v>3500</v>
      </c>
      <c r="W103" s="63">
        <v>0.12100376722808112</v>
      </c>
      <c r="X103" s="63">
        <v>0.10742966614185953</v>
      </c>
      <c r="Y103" s="63">
        <v>0.10124207860965607</v>
      </c>
      <c r="Z103" s="63">
        <v>9.94227280255678E-2</v>
      </c>
      <c r="AA103" s="63">
        <v>0.1006257207576907</v>
      </c>
      <c r="AB103" s="63">
        <v>0.10494960262440295</v>
      </c>
      <c r="AC103" s="63">
        <v>0.11148332441349716</v>
      </c>
      <c r="AD103" s="63">
        <v>0.12110988003161928</v>
      </c>
      <c r="AE103" s="63">
        <v>0.13869019296446522</v>
      </c>
      <c r="AF103" s="63"/>
      <c r="AG103" s="37"/>
      <c r="AI103" t="s">
        <v>177</v>
      </c>
      <c r="AJ103" s="17">
        <f>MAX(W102:AF121)</f>
        <v>1.5037119263051442</v>
      </c>
      <c r="AO103" s="96"/>
      <c r="AP103" s="3">
        <v>3500</v>
      </c>
      <c r="AQ103" s="62">
        <v>13.659468695562833</v>
      </c>
      <c r="AR103" s="62">
        <v>13.748599292063837</v>
      </c>
      <c r="AS103" s="62">
        <v>14.451040207889363</v>
      </c>
      <c r="AT103" s="62">
        <v>15.652334091637828</v>
      </c>
      <c r="AU103" s="62">
        <v>17.346239793346189</v>
      </c>
      <c r="AV103" s="62">
        <v>19.721101523623815</v>
      </c>
      <c r="AW103" s="62">
        <v>22.804144628594205</v>
      </c>
      <c r="AX103" s="62">
        <v>26.999137223814383</v>
      </c>
      <c r="AY103" s="62">
        <v>33.953543817725787</v>
      </c>
      <c r="AZ103" s="62"/>
      <c r="BA103" s="4"/>
      <c r="BI103" s="96"/>
      <c r="BJ103" s="3">
        <v>3500</v>
      </c>
      <c r="BK103" s="62">
        <v>0.49934939548630014</v>
      </c>
      <c r="BL103" s="62">
        <v>0.50318986340616689</v>
      </c>
      <c r="BM103" s="62">
        <v>0.53345670676561141</v>
      </c>
      <c r="BN103" s="62">
        <v>0.58521817593536074</v>
      </c>
      <c r="BO103" s="62">
        <v>0.65820535163116156</v>
      </c>
      <c r="BP103" s="62">
        <v>0.76053362774841682</v>
      </c>
      <c r="BQ103" s="62">
        <v>0.89337609268212481</v>
      </c>
      <c r="BR103" s="62">
        <v>1.0741303467596244</v>
      </c>
      <c r="BS103" s="62">
        <v>1.3737825029675721</v>
      </c>
      <c r="BT103" s="62"/>
      <c r="BU103" s="62"/>
    </row>
    <row r="104" spans="1:80" x14ac:dyDescent="0.25">
      <c r="A104" s="96"/>
      <c r="B104" s="3">
        <v>4000</v>
      </c>
      <c r="C104" s="37">
        <f t="shared" si="21"/>
        <v>7.1778990280893865E-2</v>
      </c>
      <c r="D104" s="37">
        <f t="shared" si="22"/>
        <v>3.1812003684465108E-2</v>
      </c>
      <c r="E104" s="37">
        <f t="shared" si="23"/>
        <v>1.2756370029351156E-2</v>
      </c>
      <c r="F104" s="37">
        <f t="shared" si="24"/>
        <v>6.1409080750927363E-3</v>
      </c>
      <c r="G104" s="37">
        <f t="shared" si="25"/>
        <v>8.193803847842334E-3</v>
      </c>
      <c r="H104" s="37">
        <f t="shared" si="26"/>
        <v>1.9149829957237262E-2</v>
      </c>
      <c r="I104" s="37">
        <f t="shared" si="27"/>
        <v>3.6853023493244923E-2</v>
      </c>
      <c r="J104" s="37">
        <f t="shared" si="28"/>
        <v>6.4207259011806225E-2</v>
      </c>
      <c r="K104" s="37">
        <f t="shared" si="29"/>
        <v>0.1166823747713696</v>
      </c>
      <c r="L104" s="37" t="str">
        <f t="shared" si="30"/>
        <v/>
      </c>
      <c r="M104" s="37" t="str">
        <f t="shared" si="30"/>
        <v/>
      </c>
      <c r="U104" s="96"/>
      <c r="V104" s="3">
        <v>4000</v>
      </c>
      <c r="W104" s="63">
        <v>0.12473556345329301</v>
      </c>
      <c r="X104" s="63">
        <v>0.10924262361848545</v>
      </c>
      <c r="Y104" s="63">
        <v>0.10164321491896622</v>
      </c>
      <c r="Z104" s="63">
        <v>9.8712021836656658E-2</v>
      </c>
      <c r="AA104" s="63">
        <v>9.8965934357639729E-2</v>
      </c>
      <c r="AB104" s="63">
        <v>0.10237329126615068</v>
      </c>
      <c r="AC104" s="63">
        <v>0.10800262194792247</v>
      </c>
      <c r="AD104" s="63">
        <v>0.11664425789043728</v>
      </c>
      <c r="AE104" s="63">
        <v>0.13288882716802092</v>
      </c>
      <c r="AF104" s="63"/>
      <c r="AG104" s="37"/>
      <c r="AI104" t="s">
        <v>178</v>
      </c>
      <c r="AJ104" s="17">
        <f>AJ103-AJ102</f>
        <v>1.4068923858319784</v>
      </c>
      <c r="AO104" s="96"/>
      <c r="AP104" s="3">
        <v>4000</v>
      </c>
      <c r="AQ104" s="62">
        <v>13.996295358165867</v>
      </c>
      <c r="AR104" s="62">
        <v>13.916887263474313</v>
      </c>
      <c r="AS104" s="62">
        <v>14.463262977047993</v>
      </c>
      <c r="AT104" s="62">
        <v>15.508883980697236</v>
      </c>
      <c r="AU104" s="62">
        <v>17.035127513274542</v>
      </c>
      <c r="AV104" s="62">
        <v>19.209224378679298</v>
      </c>
      <c r="AW104" s="62">
        <v>22.048265047336987</v>
      </c>
      <c r="AX104" s="62">
        <v>25.920816316970846</v>
      </c>
      <c r="AY104" s="62">
        <v>32.349623434624306</v>
      </c>
      <c r="AZ104" s="62"/>
      <c r="BA104" s="4"/>
      <c r="BI104" s="96"/>
      <c r="BJ104" s="3">
        <v>4000</v>
      </c>
      <c r="BK104" s="62">
        <v>0.52156477657396472</v>
      </c>
      <c r="BL104" s="62">
        <v>0.51809953449878632</v>
      </c>
      <c r="BM104" s="62">
        <v>0.54194249558336427</v>
      </c>
      <c r="BN104" s="62">
        <v>0.58757172155346116</v>
      </c>
      <c r="BO104" s="62">
        <v>0.65417454493814731</v>
      </c>
      <c r="BP104" s="62">
        <v>0.74904865018872502</v>
      </c>
      <c r="BQ104" s="62">
        <v>0.87293983806307685</v>
      </c>
      <c r="BR104" s="62">
        <v>1.0419317733304601</v>
      </c>
      <c r="BS104" s="62">
        <v>1.322474619797591</v>
      </c>
      <c r="BT104" s="62"/>
      <c r="BU104" s="62"/>
    </row>
    <row r="105" spans="1:80" x14ac:dyDescent="0.25">
      <c r="A105" s="96"/>
      <c r="B105" s="3">
        <v>4500</v>
      </c>
      <c r="C105" s="37">
        <f t="shared" si="21"/>
        <v>8.3377112542351972E-2</v>
      </c>
      <c r="D105" s="37">
        <f t="shared" si="22"/>
        <v>3.7968969897140131E-2</v>
      </c>
      <c r="E105" s="37">
        <f t="shared" si="23"/>
        <v>1.4969537281020863E-2</v>
      </c>
      <c r="F105" s="37">
        <f t="shared" si="24"/>
        <v>5.2617542227104642E-3</v>
      </c>
      <c r="G105" s="37">
        <f t="shared" si="25"/>
        <v>4.6576384597894899E-3</v>
      </c>
      <c r="H105" s="37">
        <f t="shared" si="26"/>
        <v>1.2997317352756324E-2</v>
      </c>
      <c r="I105" s="37">
        <f t="shared" si="27"/>
        <v>2.8014249074911131E-2</v>
      </c>
      <c r="J105" s="37">
        <f t="shared" si="28"/>
        <v>5.2252366448499461E-2</v>
      </c>
      <c r="K105" s="37">
        <f t="shared" si="29"/>
        <v>0.10000306748261269</v>
      </c>
      <c r="L105" s="37" t="str">
        <f t="shared" si="30"/>
        <v/>
      </c>
      <c r="M105" s="37" t="str">
        <f t="shared" si="30"/>
        <v/>
      </c>
      <c r="U105" s="96"/>
      <c r="V105" s="3">
        <v>4500</v>
      </c>
      <c r="W105" s="63">
        <v>0.12905965920443555</v>
      </c>
      <c r="X105" s="63">
        <v>0.1115465736542402</v>
      </c>
      <c r="Y105" s="63">
        <v>0.10247693357943556</v>
      </c>
      <c r="Z105" s="63">
        <v>9.8402203607615105E-2</v>
      </c>
      <c r="AA105" s="63">
        <v>9.7693542539537853E-2</v>
      </c>
      <c r="AB105" s="63">
        <v>0.1001861138459907</v>
      </c>
      <c r="AC105" s="63">
        <v>0.10492353846451216</v>
      </c>
      <c r="AD105" s="63">
        <v>0.11260284310862924</v>
      </c>
      <c r="AE105" s="63">
        <v>0.12754448533720678</v>
      </c>
      <c r="AF105" s="63"/>
      <c r="AG105" s="37"/>
      <c r="AI105" s="17"/>
      <c r="AO105" s="96"/>
      <c r="AP105" s="3">
        <v>4500</v>
      </c>
      <c r="AQ105" s="62">
        <v>14.393152123840276</v>
      </c>
      <c r="AR105" s="62">
        <v>14.141069039038543</v>
      </c>
      <c r="AS105" s="62">
        <v>14.530910325363243</v>
      </c>
      <c r="AT105" s="62">
        <v>15.423394467040088</v>
      </c>
      <c r="AU105" s="62">
        <v>16.787467540362833</v>
      </c>
      <c r="AV105" s="62">
        <v>18.770149109725022</v>
      </c>
      <c r="AW105" s="62">
        <v>21.379147400460109</v>
      </c>
      <c r="AX105" s="62">
        <v>24.950552858565889</v>
      </c>
      <c r="AY105" s="62">
        <v>30.891892379146206</v>
      </c>
      <c r="AZ105" s="62"/>
      <c r="BA105" s="4"/>
      <c r="BI105" s="96"/>
      <c r="BJ105" s="3">
        <v>4500</v>
      </c>
      <c r="BK105" s="62">
        <v>0.54700604928501695</v>
      </c>
      <c r="BL105" s="62">
        <v>0.53586327878449047</v>
      </c>
      <c r="BM105" s="62">
        <v>0.55309534331814492</v>
      </c>
      <c r="BN105" s="62">
        <v>0.59254561414407547</v>
      </c>
      <c r="BO105" s="62">
        <v>0.65284142182961602</v>
      </c>
      <c r="BP105" s="62">
        <v>0.74048143829641899</v>
      </c>
      <c r="BQ105" s="62">
        <v>0.85580638845240409</v>
      </c>
      <c r="BR105" s="62">
        <v>1.0136724008240778</v>
      </c>
      <c r="BS105" s="62">
        <v>1.2762960623664767</v>
      </c>
      <c r="BT105" s="62"/>
      <c r="BU105" s="62"/>
    </row>
    <row r="106" spans="1:80" ht="14.25" customHeight="1" x14ac:dyDescent="0.25">
      <c r="A106" s="96"/>
      <c r="B106" s="3">
        <v>5000</v>
      </c>
      <c r="C106" s="37">
        <f t="shared" si="21"/>
        <v>9.6723894322986476E-2</v>
      </c>
      <c r="D106" s="37">
        <f t="shared" si="22"/>
        <v>4.5541421169430898E-2</v>
      </c>
      <c r="E106" s="37">
        <f t="shared" si="23"/>
        <v>1.8411840909611482E-2</v>
      </c>
      <c r="F106" s="37">
        <f t="shared" si="24"/>
        <v>5.5154832750866356E-3</v>
      </c>
      <c r="G106" s="37">
        <f t="shared" si="25"/>
        <v>2.2207536462828729E-3</v>
      </c>
      <c r="H106" s="37">
        <f t="shared" si="26"/>
        <v>7.9673569081427139E-3</v>
      </c>
      <c r="I106" s="37">
        <f t="shared" si="27"/>
        <v>2.0370885915348858E-2</v>
      </c>
      <c r="J106" s="37">
        <f t="shared" si="28"/>
        <v>4.1630643430367348E-2</v>
      </c>
      <c r="K106" s="37">
        <f t="shared" si="29"/>
        <v>8.493369407933235E-2</v>
      </c>
      <c r="L106" s="37" t="str">
        <f t="shared" si="30"/>
        <v/>
      </c>
      <c r="M106" s="37" t="str">
        <f t="shared" si="30"/>
        <v/>
      </c>
      <c r="U106" s="96"/>
      <c r="V106" s="3">
        <v>5000</v>
      </c>
      <c r="W106" s="37">
        <v>0.13401770074629563</v>
      </c>
      <c r="X106" s="37">
        <v>0.11437176338040619</v>
      </c>
      <c r="Y106" s="37">
        <v>0.10376528908711813</v>
      </c>
      <c r="Z106" s="37">
        <v>9.8509167962478245E-2</v>
      </c>
      <c r="AA106" s="37">
        <v>9.6819540473165724E-2</v>
      </c>
      <c r="AB106" s="37">
        <v>9.8394926475499009E-2</v>
      </c>
      <c r="AC106" s="37">
        <v>0.10224937421624761</v>
      </c>
      <c r="AD106" s="37">
        <v>0.10898606722203516</v>
      </c>
      <c r="AE106" s="37">
        <v>0.12265716708939928</v>
      </c>
      <c r="AF106" s="37"/>
      <c r="AG106" s="37"/>
      <c r="AO106" s="96"/>
      <c r="AP106" s="3">
        <v>5000</v>
      </c>
      <c r="AQ106" s="4">
        <v>14.854714079930128</v>
      </c>
      <c r="AR106" s="4">
        <v>14.424785018282183</v>
      </c>
      <c r="AS106" s="4">
        <v>14.656777259288749</v>
      </c>
      <c r="AT106" s="4">
        <v>15.397884568074343</v>
      </c>
      <c r="AU106" s="4">
        <v>16.604465603863225</v>
      </c>
      <c r="AV106" s="4">
        <v>18.404089837067399</v>
      </c>
      <c r="AW106" s="4">
        <v>20.795687944663321</v>
      </c>
      <c r="AX106" s="4">
        <v>24.085287831422875</v>
      </c>
      <c r="AY106" s="4">
        <v>29.573781964650035</v>
      </c>
      <c r="AZ106" s="4"/>
      <c r="BA106" s="4"/>
      <c r="BI106" s="96"/>
      <c r="BJ106" s="3">
        <v>5000</v>
      </c>
      <c r="BK106" s="62">
        <v>0.57600894036418804</v>
      </c>
      <c r="BL106" s="62">
        <v>0.55675596504168889</v>
      </c>
      <c r="BM106" s="62">
        <v>0.56714498334622065</v>
      </c>
      <c r="BN106" s="62">
        <v>0.600333064823385</v>
      </c>
      <c r="BO106" s="62">
        <v>0.6543658739049476</v>
      </c>
      <c r="BP106" s="62">
        <v>0.73495619459376782</v>
      </c>
      <c r="BQ106" s="62">
        <v>0.8420561407346151</v>
      </c>
      <c r="BR106" s="62">
        <v>0.98937017714311548</v>
      </c>
      <c r="BS106" s="62">
        <v>1.235154543753888</v>
      </c>
      <c r="BT106" s="62"/>
      <c r="BU106" s="62"/>
    </row>
    <row r="107" spans="1:80" x14ac:dyDescent="0.25">
      <c r="A107" s="96"/>
      <c r="B107" s="3">
        <v>5500</v>
      </c>
      <c r="C107" s="37">
        <f t="shared" si="21"/>
        <v>0.11417087457409619</v>
      </c>
      <c r="D107" s="37">
        <f t="shared" si="22"/>
        <v>5.6679671827907299E-2</v>
      </c>
      <c r="E107" s="37">
        <f t="shared" si="23"/>
        <v>2.5138454770722962E-2</v>
      </c>
      <c r="F107" s="37">
        <f t="shared" si="24"/>
        <v>8.9225417744228756E-3</v>
      </c>
      <c r="G107" s="37">
        <f t="shared" si="25"/>
        <v>2.9113556663824701E-3</v>
      </c>
      <c r="H107" s="37">
        <f t="shared" si="26"/>
        <v>6.1407953189697006E-3</v>
      </c>
      <c r="I107" s="37">
        <f t="shared" si="27"/>
        <v>1.6099192625966624E-2</v>
      </c>
      <c r="J107" s="37">
        <f t="shared" si="28"/>
        <v>3.468123395502383E-2</v>
      </c>
      <c r="K107" s="37">
        <f t="shared" si="29"/>
        <v>7.4163574938754695E-2</v>
      </c>
      <c r="L107" s="37" t="str">
        <f t="shared" si="30"/>
        <v/>
      </c>
      <c r="M107" s="37" t="str">
        <f t="shared" si="30"/>
        <v/>
      </c>
      <c r="U107" s="96"/>
      <c r="V107" s="3">
        <v>5500</v>
      </c>
      <c r="W107" s="37">
        <v>0.1458685094947767</v>
      </c>
      <c r="X107" s="37">
        <v>0.12351922744097377</v>
      </c>
      <c r="Y107" s="37">
        <v>0.11111526655122614</v>
      </c>
      <c r="Z107" s="37">
        <v>0.10459678154271509</v>
      </c>
      <c r="AA107" s="37">
        <v>0.10197453997086382</v>
      </c>
      <c r="AB107" s="37">
        <v>0.1028208879297685</v>
      </c>
      <c r="AC107" s="37">
        <v>0.10611457525556847</v>
      </c>
      <c r="AD107" s="37">
        <v>0.11244161070390027</v>
      </c>
      <c r="AE107" s="37">
        <v>0.12594542097687939</v>
      </c>
      <c r="AF107" s="37"/>
      <c r="AG107" s="37"/>
      <c r="AO107" s="96"/>
      <c r="AP107" s="3">
        <v>5500</v>
      </c>
      <c r="AQ107" s="4">
        <v>15.386253488011596</v>
      </c>
      <c r="AR107" s="4">
        <v>14.772184227469303</v>
      </c>
      <c r="AS107" s="4">
        <v>14.844115662402956</v>
      </c>
      <c r="AT107" s="4">
        <v>15.434807461528523</v>
      </c>
      <c r="AU107" s="4">
        <v>16.487766662678066</v>
      </c>
      <c r="AV107" s="4">
        <v>18.111739979781294</v>
      </c>
      <c r="AW107" s="4">
        <v>20.297352131996718</v>
      </c>
      <c r="AX107" s="4">
        <v>23.322708333394349</v>
      </c>
      <c r="AY107" s="4">
        <v>28.389846691594876</v>
      </c>
      <c r="AZ107" s="4"/>
      <c r="BA107" s="4"/>
      <c r="BI107" s="96"/>
      <c r="BJ107" s="3">
        <v>5500</v>
      </c>
      <c r="BK107" s="62">
        <v>0.60895399816198081</v>
      </c>
      <c r="BL107" s="62">
        <v>0.58109005138946668</v>
      </c>
      <c r="BM107" s="62">
        <v>0.58435400515339853</v>
      </c>
      <c r="BN107" s="62">
        <v>0.61115717852061802</v>
      </c>
      <c r="BO107" s="62">
        <v>0.65893615235908964</v>
      </c>
      <c r="BP107" s="62">
        <v>0.73262540693566025</v>
      </c>
      <c r="BQ107" s="62">
        <v>0.83179953042282029</v>
      </c>
      <c r="BR107" s="62">
        <v>0.96907779784365478</v>
      </c>
      <c r="BS107" s="62">
        <v>1.1990037729318339</v>
      </c>
      <c r="BT107" s="62"/>
      <c r="BU107" s="62"/>
    </row>
    <row r="108" spans="1:80" x14ac:dyDescent="0.25">
      <c r="A108" s="96"/>
      <c r="B108" s="3">
        <v>6000</v>
      </c>
      <c r="C108" s="37">
        <f t="shared" si="21"/>
        <v>0.13289361755742277</v>
      </c>
      <c r="D108" s="37">
        <f t="shared" si="22"/>
        <v>6.821933245894729E-2</v>
      </c>
      <c r="E108" s="37">
        <f t="shared" si="23"/>
        <v>3.1806088423472163E-2</v>
      </c>
      <c r="F108" s="37">
        <f t="shared" si="24"/>
        <v>1.2046105508536558E-2</v>
      </c>
      <c r="G108" s="37">
        <f t="shared" si="25"/>
        <v>3.2513982073645803E-3</v>
      </c>
      <c r="H108" s="37">
        <f t="shared" si="26"/>
        <v>4.0417587422574694E-3</v>
      </c>
      <c r="I108" s="37">
        <f t="shared" si="27"/>
        <v>1.1759399918333842E-2</v>
      </c>
      <c r="J108" s="37">
        <f t="shared" si="28"/>
        <v>2.8044902820050482E-2</v>
      </c>
      <c r="K108" s="37">
        <f t="shared" si="29"/>
        <v>6.4526040679988322E-2</v>
      </c>
      <c r="L108" s="37" t="str">
        <f t="shared" si="30"/>
        <v/>
      </c>
      <c r="M108" s="37" t="str">
        <f t="shared" si="30"/>
        <v/>
      </c>
      <c r="U108" s="96"/>
      <c r="V108" s="3">
        <v>6000</v>
      </c>
      <c r="W108" s="37">
        <v>0.15626110932858933</v>
      </c>
      <c r="X108" s="37">
        <v>0.12980145815376584</v>
      </c>
      <c r="Y108" s="37">
        <v>0.11491670723582834</v>
      </c>
      <c r="Z108" s="37">
        <v>0.10685060587897914</v>
      </c>
      <c r="AA108" s="37">
        <v>0.10327542557257086</v>
      </c>
      <c r="AB108" s="37">
        <v>0.10363021840608753</v>
      </c>
      <c r="AC108" s="37">
        <v>0.10683095176641429</v>
      </c>
      <c r="AD108" s="37">
        <v>0.11355978739325842</v>
      </c>
      <c r="AE108" s="37">
        <v>0.12861951210344047</v>
      </c>
      <c r="AF108" s="37"/>
      <c r="AG108" s="37"/>
      <c r="AO108" s="96"/>
      <c r="AP108" s="3">
        <v>6000</v>
      </c>
      <c r="AQ108" s="4">
        <v>15.993715072731954</v>
      </c>
      <c r="AR108" s="4">
        <v>15.187985817248276</v>
      </c>
      <c r="AS108" s="4">
        <v>15.096685470148962</v>
      </c>
      <c r="AT108" s="4">
        <v>15.537092972517538</v>
      </c>
      <c r="AU108" s="4">
        <v>16.439488719312198</v>
      </c>
      <c r="AV108" s="4">
        <v>17.894295328770145</v>
      </c>
      <c r="AW108" s="4">
        <v>19.884181842340684</v>
      </c>
      <c r="AX108" s="4">
        <v>22.661227538907305</v>
      </c>
      <c r="AY108" s="4">
        <v>27.33568733814824</v>
      </c>
      <c r="AZ108" s="4"/>
      <c r="BA108" s="4"/>
      <c r="BI108" s="96"/>
      <c r="BJ108" s="3">
        <v>6000</v>
      </c>
      <c r="BK108" s="62">
        <v>0.64627304686988385</v>
      </c>
      <c r="BL108" s="62">
        <v>0.60922092226301394</v>
      </c>
      <c r="BM108" s="62">
        <v>0.6050224004712943</v>
      </c>
      <c r="BN108" s="62">
        <v>0.62527490284042464</v>
      </c>
      <c r="BO108" s="62">
        <v>0.66677231580810181</v>
      </c>
      <c r="BP108" s="62">
        <v>0.73367279808012198</v>
      </c>
      <c r="BQ108" s="62">
        <v>0.8251793712280534</v>
      </c>
      <c r="BR108" s="62">
        <v>0.95288410887766295</v>
      </c>
      <c r="BS108" s="62">
        <v>1.1678429995627337</v>
      </c>
      <c r="BT108" s="62"/>
      <c r="BU108" s="62"/>
    </row>
    <row r="109" spans="1:80" x14ac:dyDescent="0.25">
      <c r="A109" s="96"/>
      <c r="B109" s="3">
        <v>6500</v>
      </c>
      <c r="C109" s="37">
        <f t="shared" si="21"/>
        <v>0.1552175106427886</v>
      </c>
      <c r="D109" s="37">
        <f t="shared" si="22"/>
        <v>8.2793181546068809E-2</v>
      </c>
      <c r="E109" s="37">
        <f t="shared" si="23"/>
        <v>4.1154201905484203E-2</v>
      </c>
      <c r="F109" s="37">
        <f t="shared" si="24"/>
        <v>1.7615491341011098E-2</v>
      </c>
      <c r="G109" s="37">
        <f t="shared" si="25"/>
        <v>5.8705366904503922E-3</v>
      </c>
      <c r="H109" s="37">
        <f t="shared" si="26"/>
        <v>4.0910852271888358E-3</v>
      </c>
      <c r="I109" s="37">
        <f t="shared" si="27"/>
        <v>9.4518264027190439E-3</v>
      </c>
      <c r="J109" s="37">
        <f t="shared" si="28"/>
        <v>2.3314148982127185E-2</v>
      </c>
      <c r="K109" s="37">
        <f t="shared" si="29"/>
        <v>5.6578153972599694E-2</v>
      </c>
      <c r="L109" s="37" t="str">
        <f t="shared" si="30"/>
        <v/>
      </c>
      <c r="M109" s="77"/>
      <c r="U109" s="96"/>
      <c r="V109" s="3">
        <v>6500</v>
      </c>
      <c r="W109" s="37">
        <v>0.17128335912091508</v>
      </c>
      <c r="X109" s="37">
        <v>0.14030452672606492</v>
      </c>
      <c r="Y109" s="37">
        <v>0.12264476193062873</v>
      </c>
      <c r="Z109" s="37">
        <v>0.11278123054128993</v>
      </c>
      <c r="AA109" s="37">
        <v>0.10800268217366228</v>
      </c>
      <c r="AB109" s="37">
        <v>0.10756040780755934</v>
      </c>
      <c r="AC109" s="37">
        <v>0.11027790364609889</v>
      </c>
      <c r="AD109" s="37">
        <v>0.11684078856901574</v>
      </c>
      <c r="AE109" s="37">
        <v>0.13233819507160696</v>
      </c>
      <c r="AF109" s="37"/>
      <c r="AG109" s="37"/>
      <c r="AO109" s="96"/>
      <c r="AP109" s="3">
        <v>6500</v>
      </c>
      <c r="AQ109" s="4">
        <v>16.683802474194607</v>
      </c>
      <c r="AR109" s="4">
        <v>15.677549895689509</v>
      </c>
      <c r="AS109" s="4">
        <v>15.418814017464312</v>
      </c>
      <c r="AT109" s="4">
        <v>15.708197580769099</v>
      </c>
      <c r="AU109" s="4">
        <v>16.462263988032603</v>
      </c>
      <c r="AV109" s="4">
        <v>17.753484950445202</v>
      </c>
      <c r="AW109" s="4">
        <v>19.556811971177936</v>
      </c>
      <c r="AX109" s="4">
        <v>22.099977641770838</v>
      </c>
      <c r="AY109" s="4">
        <v>26.407896026348382</v>
      </c>
      <c r="AZ109" s="4"/>
      <c r="BA109" s="4"/>
      <c r="BI109" s="96"/>
      <c r="BJ109" s="3">
        <v>6500</v>
      </c>
      <c r="BK109" s="62">
        <v>0.68845668454719389</v>
      </c>
      <c r="BL109" s="62">
        <v>0.6415530933692869</v>
      </c>
      <c r="BM109" s="62">
        <v>0.62949285907566632</v>
      </c>
      <c r="BN109" s="62">
        <v>0.64298164771262867</v>
      </c>
      <c r="BO109" s="62">
        <v>0.67813030048907597</v>
      </c>
      <c r="BP109" s="62">
        <v>0.73831687932131806</v>
      </c>
      <c r="BQ109" s="62">
        <v>0.82237382004109039</v>
      </c>
      <c r="BR109" s="62">
        <v>0.94091622724504131</v>
      </c>
      <c r="BS109" s="62">
        <v>1.1417175439862044</v>
      </c>
      <c r="BT109" s="62"/>
      <c r="BU109" s="62"/>
    </row>
    <row r="110" spans="1:80" x14ac:dyDescent="0.25">
      <c r="A110" s="96"/>
      <c r="B110" s="3">
        <v>7000</v>
      </c>
      <c r="C110" s="37">
        <f t="shared" si="21"/>
        <v>0.19153527370681384</v>
      </c>
      <c r="D110" s="37">
        <f t="shared" si="22"/>
        <v>0.10998874335099366</v>
      </c>
      <c r="E110" s="37">
        <f t="shared" si="23"/>
        <v>6.2371720843431233E-2</v>
      </c>
      <c r="F110" s="37">
        <f t="shared" si="24"/>
        <v>3.4640220961108852E-2</v>
      </c>
      <c r="G110" s="37">
        <f t="shared" si="25"/>
        <v>1.974042595394947E-2</v>
      </c>
      <c r="H110" s="37">
        <f t="shared" si="26"/>
        <v>1.535424823019388E-2</v>
      </c>
      <c r="I110" s="37">
        <f t="shared" si="27"/>
        <v>1.8451950692683544E-2</v>
      </c>
      <c r="J110" s="37">
        <f t="shared" si="28"/>
        <v>3.0145233025624239E-2</v>
      </c>
      <c r="K110" s="37">
        <f t="shared" si="29"/>
        <v>6.0809768893657287E-2</v>
      </c>
      <c r="L110" s="37" t="str">
        <f t="shared" si="30"/>
        <v/>
      </c>
      <c r="M110" s="37" t="str">
        <f t="shared" si="30"/>
        <v/>
      </c>
      <c r="U110" s="96"/>
      <c r="V110" s="3">
        <v>7000</v>
      </c>
      <c r="W110" s="37">
        <v>0.21966436102831971</v>
      </c>
      <c r="X110" s="37">
        <v>0.18164030662339031</v>
      </c>
      <c r="Y110" s="37">
        <v>0.15988802453928985</v>
      </c>
      <c r="Z110" s="37">
        <v>0.1475423613354454</v>
      </c>
      <c r="AA110" s="37">
        <v>0.1412574576908131</v>
      </c>
      <c r="AB110" s="37">
        <v>0.14002309032363353</v>
      </c>
      <c r="AC110" s="37">
        <v>0.14250213291298167</v>
      </c>
      <c r="AD110" s="37">
        <v>0.14945096830517113</v>
      </c>
      <c r="AE110" s="37">
        <v>0.16668058357273785</v>
      </c>
      <c r="AF110" s="37"/>
      <c r="AG110" s="37"/>
      <c r="AO110" s="96"/>
      <c r="AP110" s="3">
        <v>7000</v>
      </c>
      <c r="AQ110" s="4">
        <v>17.464077643486736</v>
      </c>
      <c r="AR110" s="4">
        <v>16.246959155686749</v>
      </c>
      <c r="AS110" s="4">
        <v>15.815464785037285</v>
      </c>
      <c r="AT110" s="4">
        <v>15.952162984973599</v>
      </c>
      <c r="AU110" s="4">
        <v>16.559288270948752</v>
      </c>
      <c r="AV110" s="4">
        <v>17.691610543438117</v>
      </c>
      <c r="AW110" s="4">
        <v>19.316496622468524</v>
      </c>
      <c r="AX110" s="4">
        <v>21.638815296927515</v>
      </c>
      <c r="AY110" s="4">
        <v>25.60402101709434</v>
      </c>
      <c r="AZ110" s="4"/>
      <c r="BA110" s="4"/>
      <c r="BI110" s="96"/>
      <c r="BJ110" s="3">
        <v>7000</v>
      </c>
      <c r="BK110" s="62">
        <v>0.73606300900863486</v>
      </c>
      <c r="BL110" s="62">
        <v>0.67854743670170914</v>
      </c>
      <c r="BM110" s="62">
        <v>0.65815694397328117</v>
      </c>
      <c r="BN110" s="62">
        <v>0.66461668908558758</v>
      </c>
      <c r="BO110" s="62">
        <v>0.69330671280545197</v>
      </c>
      <c r="BP110" s="62">
        <v>0.74681519549707887</v>
      </c>
      <c r="BQ110" s="62">
        <v>0.82360003913043656</v>
      </c>
      <c r="BR110" s="62">
        <v>0.93334242574228166</v>
      </c>
      <c r="BS110" s="62">
        <v>1.1207203011061875</v>
      </c>
      <c r="BT110" s="62"/>
      <c r="BU110" s="62"/>
    </row>
    <row r="111" spans="1:80" x14ac:dyDescent="0.25">
      <c r="A111" s="96"/>
      <c r="B111" s="3">
        <v>7500</v>
      </c>
      <c r="C111" s="37">
        <f t="shared" si="21"/>
        <v>0.23126828545970654</v>
      </c>
      <c r="D111" s="37">
        <f t="shared" si="22"/>
        <v>0.1403870483150455</v>
      </c>
      <c r="E111" s="37">
        <f t="shared" si="23"/>
        <v>8.658811878491815E-2</v>
      </c>
      <c r="F111" s="37">
        <f t="shared" si="24"/>
        <v>5.4470403303861117E-2</v>
      </c>
      <c r="G111" s="37">
        <f t="shared" si="25"/>
        <v>3.6217934671534432E-2</v>
      </c>
      <c r="H111" s="37">
        <f t="shared" si="26"/>
        <v>2.8988384945804344E-2</v>
      </c>
      <c r="I111" s="37">
        <f t="shared" si="27"/>
        <v>2.9533704580628345E-2</v>
      </c>
      <c r="J111" s="37">
        <f t="shared" si="28"/>
        <v>3.865326815243033E-2</v>
      </c>
      <c r="K111" s="37">
        <f t="shared" si="29"/>
        <v>6.5938728422551371E-2</v>
      </c>
      <c r="L111" s="37" t="str">
        <f t="shared" si="30"/>
        <v/>
      </c>
      <c r="M111" s="37" t="str">
        <f t="shared" si="30"/>
        <v/>
      </c>
      <c r="U111" s="96"/>
      <c r="V111" s="3">
        <v>7500</v>
      </c>
      <c r="W111" s="37">
        <v>0.27105800607881303</v>
      </c>
      <c r="X111" s="37">
        <v>0.22689141767326329</v>
      </c>
      <c r="Y111" s="37">
        <v>0.20138139924786932</v>
      </c>
      <c r="Z111" s="37">
        <v>0.18656654805956391</v>
      </c>
      <c r="AA111" s="37">
        <v>0.17854971603073561</v>
      </c>
      <c r="AB111" s="37">
        <v>0.17601527488115437</v>
      </c>
      <c r="AC111" s="37">
        <v>0.17746752255973886</v>
      </c>
      <c r="AD111" s="37">
        <v>0.18354787366800054</v>
      </c>
      <c r="AE111" s="37">
        <v>0.19993602952375669</v>
      </c>
      <c r="AF111" s="37"/>
      <c r="AG111" s="37"/>
      <c r="AO111" s="96"/>
      <c r="AP111" s="3">
        <v>7500</v>
      </c>
      <c r="AQ111" s="4">
        <v>18.343075279890005</v>
      </c>
      <c r="AR111" s="4">
        <v>16.903113020474816</v>
      </c>
      <c r="AS111" s="4">
        <v>16.292316999217171</v>
      </c>
      <c r="AT111" s="4">
        <v>16.273684468977471</v>
      </c>
      <c r="AU111" s="4">
        <v>16.734379595236788</v>
      </c>
      <c r="AV111" s="4">
        <v>17.711595080511895</v>
      </c>
      <c r="AW111" s="4">
        <v>19.165145410594118</v>
      </c>
      <c r="AX111" s="4">
        <v>21.278339456008954</v>
      </c>
      <c r="AY111" s="4">
        <v>24.92254971458048</v>
      </c>
      <c r="AZ111" s="4"/>
      <c r="BA111" s="4"/>
      <c r="BI111" s="96"/>
      <c r="BJ111" s="3">
        <v>7500</v>
      </c>
      <c r="BK111" s="62">
        <v>0.78972779132723447</v>
      </c>
      <c r="BL111" s="62">
        <v>0.72072960723579271</v>
      </c>
      <c r="BM111" s="62">
        <v>0.69146230106752482</v>
      </c>
      <c r="BN111" s="62">
        <v>0.69056949242399135</v>
      </c>
      <c r="BO111" s="62">
        <v>0.712644464822629</v>
      </c>
      <c r="BP111" s="62">
        <v>0.75946936839850665</v>
      </c>
      <c r="BQ111" s="62">
        <v>0.82911864747191832</v>
      </c>
      <c r="BR111" s="62">
        <v>0.93037585113341414</v>
      </c>
      <c r="BS111" s="62">
        <v>1.1049942403618631</v>
      </c>
      <c r="BT111" s="62"/>
      <c r="BU111" s="62"/>
    </row>
    <row r="112" spans="1:80" x14ac:dyDescent="0.25">
      <c r="A112" s="96"/>
      <c r="B112" s="3">
        <v>8000</v>
      </c>
      <c r="C112" s="37">
        <f t="shared" si="21"/>
        <v>0.28179722286106501</v>
      </c>
      <c r="D112" s="37">
        <f t="shared" si="22"/>
        <v>0.18014809288294803</v>
      </c>
      <c r="E112" s="37">
        <f t="shared" si="23"/>
        <v>0.11935175818466143</v>
      </c>
      <c r="F112" s="37">
        <f t="shared" si="24"/>
        <v>8.2367663272315511E-2</v>
      </c>
      <c r="G112" s="37">
        <f t="shared" si="25"/>
        <v>6.048359913761877E-2</v>
      </c>
      <c r="H112" s="37">
        <f t="shared" si="26"/>
        <v>5.0277601739473161E-2</v>
      </c>
      <c r="I112" s="37">
        <f t="shared" si="27"/>
        <v>4.824322436611149E-2</v>
      </c>
      <c r="J112" s="37">
        <f t="shared" si="28"/>
        <v>5.4873159632388452E-2</v>
      </c>
      <c r="K112" s="37">
        <f t="shared" si="29"/>
        <v>7.9080497712123374E-2</v>
      </c>
      <c r="L112" s="37" t="str">
        <f t="shared" si="30"/>
        <v/>
      </c>
      <c r="M112" s="37" t="str">
        <f t="shared" si="30"/>
        <v/>
      </c>
      <c r="U112" s="96"/>
      <c r="V112" s="3">
        <v>8000</v>
      </c>
      <c r="W112" s="37">
        <v>0.34557632353593121</v>
      </c>
      <c r="X112" s="37">
        <v>0.29292066193736688</v>
      </c>
      <c r="Y112" s="37">
        <v>0.26238816375261342</v>
      </c>
      <c r="Z112" s="37">
        <v>0.24439509022184103</v>
      </c>
      <c r="AA112" s="37">
        <v>0.23425620521514923</v>
      </c>
      <c r="AB112" s="37">
        <v>0.23025739322013827</v>
      </c>
      <c r="AC112" s="37">
        <v>0.23067852081495049</v>
      </c>
      <c r="AD112" s="37">
        <v>0.2360585804977911</v>
      </c>
      <c r="AE112" s="37">
        <v>0.25213267455152522</v>
      </c>
      <c r="AF112" s="37"/>
      <c r="AG112" s="37"/>
      <c r="AO112" s="96"/>
      <c r="AP112" s="3">
        <v>8000</v>
      </c>
      <c r="AQ112" s="4">
        <v>19.330434788835927</v>
      </c>
      <c r="AR112" s="4">
        <v>17.653836346341347</v>
      </c>
      <c r="AS112" s="4">
        <v>16.855857812552582</v>
      </c>
      <c r="AT112" s="4">
        <v>16.678190558755116</v>
      </c>
      <c r="AU112" s="4">
        <v>16.992047394842647</v>
      </c>
      <c r="AV112" s="4">
        <v>17.817041800693378</v>
      </c>
      <c r="AW112" s="4">
        <v>19.105370639461849</v>
      </c>
      <c r="AX112" s="4">
        <v>21.019921849305618</v>
      </c>
      <c r="AY112" s="4">
        <v>24.362908986962729</v>
      </c>
      <c r="AZ112" s="4"/>
      <c r="BA112" s="4"/>
      <c r="BI112" s="96"/>
      <c r="BJ112" s="3">
        <v>8000</v>
      </c>
      <c r="BK112" s="62">
        <v>0.85017635989260765</v>
      </c>
      <c r="BL112" s="62">
        <v>0.76869988865897509</v>
      </c>
      <c r="BM112" s="62">
        <v>0.72992108903384878</v>
      </c>
      <c r="BN112" s="62">
        <v>0.72128711889151131</v>
      </c>
      <c r="BO112" s="62">
        <v>0.73653939804722657</v>
      </c>
      <c r="BP112" s="62">
        <v>0.77663106894022382</v>
      </c>
      <c r="BQ112" s="62">
        <v>0.83923907626677108</v>
      </c>
      <c r="BR112" s="62">
        <v>0.93227917019770423</v>
      </c>
      <c r="BS112" s="62">
        <v>1.0947359567795056</v>
      </c>
      <c r="BT112" s="62"/>
      <c r="BU112" s="62"/>
    </row>
    <row r="113" spans="1:80" x14ac:dyDescent="0.25">
      <c r="A113" s="96"/>
      <c r="B113" s="3">
        <v>8500</v>
      </c>
      <c r="C113" s="37">
        <f t="shared" si="21"/>
        <v>0.3486217566217179</v>
      </c>
      <c r="D113" s="37">
        <f t="shared" si="22"/>
        <v>0.23345307649341462</v>
      </c>
      <c r="E113" s="37">
        <f t="shared" si="23"/>
        <v>0.16413704053458283</v>
      </c>
      <c r="F113" s="37">
        <f t="shared" si="24"/>
        <v>0.12141078618908868</v>
      </c>
      <c r="G113" s="37">
        <f t="shared" si="25"/>
        <v>9.5397308807943754E-2</v>
      </c>
      <c r="H113" s="37">
        <f t="shared" si="26"/>
        <v>8.198647364116235E-2</v>
      </c>
      <c r="I113" s="37">
        <f t="shared" si="27"/>
        <v>7.7336191952539185E-2</v>
      </c>
      <c r="J113" s="37">
        <f t="shared" si="28"/>
        <v>8.1644015127527392E-2</v>
      </c>
      <c r="K113" s="37">
        <f t="shared" si="29"/>
        <v>0.10335137507007136</v>
      </c>
      <c r="L113" s="37" t="str">
        <f t="shared" si="30"/>
        <v/>
      </c>
      <c r="M113" s="37" t="str">
        <f t="shared" si="30"/>
        <v/>
      </c>
      <c r="U113" s="96"/>
      <c r="V113" s="3">
        <v>8500</v>
      </c>
      <c r="W113" s="37">
        <v>0.45795262406769621</v>
      </c>
      <c r="X113" s="37">
        <v>0.39095961547394825</v>
      </c>
      <c r="Y113" s="37">
        <v>0.35228684424349233</v>
      </c>
      <c r="Z113" s="37">
        <v>0.3293874518685479</v>
      </c>
      <c r="AA113" s="37">
        <v>0.31619022121699386</v>
      </c>
      <c r="AB113" s="37">
        <v>0.31035075413267849</v>
      </c>
      <c r="AC113" s="37">
        <v>0.30976037189357042</v>
      </c>
      <c r="AD113" s="37">
        <v>0.31489098111277802</v>
      </c>
      <c r="AE113" s="37">
        <v>0.33201704074197519</v>
      </c>
      <c r="AF113" s="37"/>
      <c r="AG113" s="37"/>
      <c r="AO113" s="96"/>
      <c r="AP113" s="3">
        <v>8500</v>
      </c>
      <c r="AQ113" s="4">
        <v>20.43705269484073</v>
      </c>
      <c r="AR113" s="4">
        <v>18.508005098282659</v>
      </c>
      <c r="AS113" s="4">
        <v>17.513489115827245</v>
      </c>
      <c r="AT113" s="4">
        <v>17.171935748093372</v>
      </c>
      <c r="AU113" s="4">
        <v>17.337573788589506</v>
      </c>
      <c r="AV113" s="4">
        <v>18.012304880794012</v>
      </c>
      <c r="AW113" s="4">
        <v>19.140546410977418</v>
      </c>
      <c r="AX113" s="4">
        <v>20.865750721023002</v>
      </c>
      <c r="AY113" s="4">
        <v>23.925482470228591</v>
      </c>
      <c r="AZ113" s="4"/>
      <c r="BA113" s="4"/>
      <c r="BI113" s="96"/>
      <c r="BJ113" s="3">
        <v>8500</v>
      </c>
      <c r="BK113" s="62">
        <v>0.91823751036216628</v>
      </c>
      <c r="BL113" s="62">
        <v>0.82314471882036477</v>
      </c>
      <c r="BM113" s="62">
        <v>0.77411985226271052</v>
      </c>
      <c r="BN113" s="62">
        <v>0.75728290989992531</v>
      </c>
      <c r="BO113" s="62">
        <v>0.76544807061674491</v>
      </c>
      <c r="BP113" s="62">
        <v>0.79870907631316079</v>
      </c>
      <c r="BQ113" s="62">
        <v>0.854325970800349</v>
      </c>
      <c r="BR113" s="62">
        <v>0.93937026629357512</v>
      </c>
      <c r="BS113" s="62">
        <v>1.0902003618911054</v>
      </c>
      <c r="BT113" s="62"/>
      <c r="BU113" s="62"/>
    </row>
    <row r="114" spans="1:80" x14ac:dyDescent="0.25">
      <c r="A114" s="96"/>
      <c r="B114" s="3">
        <v>9000</v>
      </c>
      <c r="C114" s="37">
        <f t="shared" si="21"/>
        <v>0.42462909215101186</v>
      </c>
      <c r="D114" s="37">
        <f t="shared" si="22"/>
        <v>0.29385460813223196</v>
      </c>
      <c r="E114" s="37">
        <f t="shared" si="23"/>
        <v>0.21481064974760472</v>
      </c>
      <c r="F114" s="37">
        <f t="shared" si="24"/>
        <v>0.16559416527153462</v>
      </c>
      <c r="G114" s="37">
        <f t="shared" si="25"/>
        <v>0.13496110968607022</v>
      </c>
      <c r="H114" s="37">
        <f t="shared" si="26"/>
        <v>0.11801014543572386</v>
      </c>
      <c r="I114" s="37">
        <f t="shared" si="27"/>
        <v>0.11050221445863551</v>
      </c>
      <c r="J114" s="37">
        <f t="shared" si="28"/>
        <v>0.11230342177226728</v>
      </c>
      <c r="K114" s="37">
        <f t="shared" si="29"/>
        <v>0.13134579645695316</v>
      </c>
      <c r="L114" s="37" t="str">
        <f t="shared" si="30"/>
        <v/>
      </c>
      <c r="M114" s="37" t="str">
        <f t="shared" si="30"/>
        <v/>
      </c>
      <c r="U114" s="96"/>
      <c r="V114" s="3">
        <v>9000</v>
      </c>
      <c r="W114" s="37">
        <v>0.58733331112075071</v>
      </c>
      <c r="X114" s="37">
        <v>0.50226111479536784</v>
      </c>
      <c r="Y114" s="37">
        <v>0.45336611938794968</v>
      </c>
      <c r="Z114" s="37">
        <v>0.42429650066631497</v>
      </c>
      <c r="AA114" s="37">
        <v>0.40720311408525756</v>
      </c>
      <c r="AB114" s="37">
        <v>0.39890688155843074</v>
      </c>
      <c r="AC114" s="37">
        <v>0.39679815512521521</v>
      </c>
      <c r="AD114" s="37">
        <v>0.40118880313905814</v>
      </c>
      <c r="AE114" s="37">
        <v>0.41869937972335797</v>
      </c>
      <c r="AF114" s="37"/>
      <c r="AG114" s="37"/>
      <c r="AO114" s="96"/>
      <c r="AP114" s="3">
        <v>9000</v>
      </c>
      <c r="AQ114" s="4">
        <v>21.675258989542627</v>
      </c>
      <c r="AR114" s="4">
        <v>19.475691865631969</v>
      </c>
      <c r="AS114" s="4">
        <v>18.273651419668845</v>
      </c>
      <c r="AT114" s="4">
        <v>17.762108414815486</v>
      </c>
      <c r="AU114" s="4">
        <v>17.77710882308207</v>
      </c>
      <c r="AV114" s="4">
        <v>18.302573420272214</v>
      </c>
      <c r="AW114" s="4">
        <v>19.274881029779923</v>
      </c>
      <c r="AX114" s="4">
        <v>20.81888879034549</v>
      </c>
      <c r="AY114" s="4">
        <v>23.611645045424108</v>
      </c>
      <c r="AZ114" s="4"/>
      <c r="BA114" s="4"/>
      <c r="BI114" s="96"/>
      <c r="BJ114" s="3">
        <v>9000</v>
      </c>
      <c r="BK114" s="62">
        <v>0.99485982058378741</v>
      </c>
      <c r="BL114" s="62">
        <v>0.88485020827889194</v>
      </c>
      <c r="BM114" s="62">
        <v>0.82473110484362055</v>
      </c>
      <c r="BN114" s="62">
        <v>0.79914668551426316</v>
      </c>
      <c r="BO114" s="62">
        <v>0.79989691908517069</v>
      </c>
      <c r="BP114" s="62">
        <v>0.82617761585884353</v>
      </c>
      <c r="BQ114" s="62">
        <v>0.87480681294052687</v>
      </c>
      <c r="BR114" s="62">
        <v>0.9520291415019656</v>
      </c>
      <c r="BS114" s="62">
        <v>1.0917066396530744</v>
      </c>
      <c r="BT114" s="62"/>
      <c r="BU114" s="62"/>
    </row>
    <row r="115" spans="1:80" x14ac:dyDescent="0.25">
      <c r="A115" s="96"/>
      <c r="B115" s="3">
        <v>9500</v>
      </c>
      <c r="C115" s="37">
        <f t="shared" si="21"/>
        <v>0.50180764120278254</v>
      </c>
      <c r="D115" s="37">
        <f t="shared" si="22"/>
        <v>0.354452968879997</v>
      </c>
      <c r="E115" s="37">
        <f t="shared" si="23"/>
        <v>0.26504750288177181</v>
      </c>
      <c r="F115" s="37">
        <f t="shared" si="24"/>
        <v>0.20889704994291119</v>
      </c>
      <c r="G115" s="37">
        <f t="shared" si="25"/>
        <v>0.17330437328425755</v>
      </c>
      <c r="H115" s="37">
        <f t="shared" si="26"/>
        <v>0.15251468282305614</v>
      </c>
      <c r="I115" s="37">
        <f t="shared" si="27"/>
        <v>0.14186313413864413</v>
      </c>
      <c r="J115" s="37">
        <f t="shared" si="28"/>
        <v>0.14083507062636563</v>
      </c>
      <c r="K115" s="37">
        <f t="shared" si="29"/>
        <v>0.15669653924348273</v>
      </c>
      <c r="L115" s="37" t="str">
        <f t="shared" si="30"/>
        <v/>
      </c>
      <c r="M115" s="37" t="str">
        <f t="shared" si="30"/>
        <v/>
      </c>
      <c r="U115" s="96"/>
      <c r="V115" s="3">
        <v>9500</v>
      </c>
      <c r="W115" s="37">
        <v>0.71022350749815577</v>
      </c>
      <c r="X115" s="37">
        <v>0.60672278833667936</v>
      </c>
      <c r="Y115" s="37">
        <v>0.54731146189141344</v>
      </c>
      <c r="Z115" s="37">
        <v>0.51178127281917152</v>
      </c>
      <c r="AA115" s="37">
        <v>0.49046166945944902</v>
      </c>
      <c r="AB115" s="37">
        <v>0.47926246367941089</v>
      </c>
      <c r="AC115" s="37">
        <v>0.47505971484238707</v>
      </c>
      <c r="AD115" s="37">
        <v>0.47788228116336012</v>
      </c>
      <c r="AE115" s="37">
        <v>0.49417985863024882</v>
      </c>
      <c r="AF115" s="37"/>
      <c r="AG115" s="37"/>
      <c r="AO115" s="96"/>
      <c r="AP115" s="3">
        <v>9500</v>
      </c>
      <c r="AQ115" s="4">
        <v>23.059021551358228</v>
      </c>
      <c r="AR115" s="4">
        <v>20.568334626890874</v>
      </c>
      <c r="AS115" s="4">
        <v>19.145967708285902</v>
      </c>
      <c r="AT115" s="4">
        <v>18.456956460518107</v>
      </c>
      <c r="AU115" s="4">
        <v>18.317781924495424</v>
      </c>
      <c r="AV115" s="4">
        <v>18.693970729807528</v>
      </c>
      <c r="AW115" s="4">
        <v>19.513504428039674</v>
      </c>
      <c r="AX115" s="4">
        <v>20.883346802592044</v>
      </c>
      <c r="AY115" s="4">
        <v>23.4238151906406</v>
      </c>
      <c r="AZ115" s="4"/>
      <c r="BA115" s="4"/>
      <c r="BI115" s="96"/>
      <c r="BJ115" s="3">
        <v>9500</v>
      </c>
      <c r="BK115" s="62">
        <v>1.081130827317357</v>
      </c>
      <c r="BL115" s="62">
        <v>0.95471802957931207</v>
      </c>
      <c r="BM115" s="62">
        <v>0.88252694854677738</v>
      </c>
      <c r="BN115" s="62">
        <v>0.84755674067051645</v>
      </c>
      <c r="BO115" s="62">
        <v>0.84049304980688677</v>
      </c>
      <c r="BP115" s="62">
        <v>0.85958620795939367</v>
      </c>
      <c r="BQ115" s="62">
        <v>0.90118097710376854</v>
      </c>
      <c r="BR115" s="62">
        <v>0.97070621744055818</v>
      </c>
      <c r="BS115" s="62">
        <v>1.0996456330465396</v>
      </c>
      <c r="BT115" s="62"/>
      <c r="BU115" s="62"/>
    </row>
    <row r="116" spans="1:80" x14ac:dyDescent="0.25">
      <c r="A116" s="96"/>
      <c r="B116" s="3">
        <v>10000</v>
      </c>
      <c r="C116" s="37">
        <f t="shared" si="21"/>
        <v>0.58940251803662314</v>
      </c>
      <c r="D116" s="37">
        <f t="shared" si="22"/>
        <v>0.42198852621523864</v>
      </c>
      <c r="E116" s="37">
        <f t="shared" si="23"/>
        <v>0.32025529818989806</v>
      </c>
      <c r="F116" s="37">
        <f t="shared" si="24"/>
        <v>0.25598976475544033</v>
      </c>
      <c r="G116" s="37">
        <f t="shared" si="25"/>
        <v>0.21469859792842119</v>
      </c>
      <c r="H116" s="37">
        <f t="shared" si="26"/>
        <v>0.18961181104297611</v>
      </c>
      <c r="I116" s="37">
        <f t="shared" si="27"/>
        <v>0.17554116213273305</v>
      </c>
      <c r="J116" s="37">
        <f t="shared" si="28"/>
        <v>0.17155852215378337</v>
      </c>
      <c r="K116" s="37">
        <f t="shared" si="29"/>
        <v>0.18432165136923773</v>
      </c>
      <c r="L116" s="37" t="str">
        <f t="shared" si="30"/>
        <v/>
      </c>
      <c r="M116" s="77"/>
      <c r="U116" s="96"/>
      <c r="V116" s="3">
        <v>10000</v>
      </c>
      <c r="W116" s="37">
        <v>0.85155629284477574</v>
      </c>
      <c r="X116" s="37">
        <v>0.72252812065949001</v>
      </c>
      <c r="Y116" s="37">
        <v>0.64874915162117364</v>
      </c>
      <c r="Z116" s="37">
        <v>0.60452480062498481</v>
      </c>
      <c r="AA116" s="37">
        <v>0.57762181233103482</v>
      </c>
      <c r="AB116" s="37">
        <v>0.56269723548420159</v>
      </c>
      <c r="AC116" s="37">
        <v>0.55591442454785511</v>
      </c>
      <c r="AD116" s="37">
        <v>0.55694992299608548</v>
      </c>
      <c r="AE116" s="37">
        <v>0.57217888276884743</v>
      </c>
      <c r="AF116" s="37"/>
      <c r="AG116" s="37"/>
      <c r="AO116" s="96"/>
      <c r="AP116" s="3">
        <v>10000</v>
      </c>
      <c r="AQ116" s="4">
        <v>24.604183564623948</v>
      </c>
      <c r="AR116" s="4">
        <v>21.798932826273315</v>
      </c>
      <c r="AS116" s="4">
        <v>20.141410726854495</v>
      </c>
      <c r="AT116" s="4">
        <v>19.265933700384984</v>
      </c>
      <c r="AU116" s="4">
        <v>18.967832252097075</v>
      </c>
      <c r="AV116" s="4">
        <v>19.19367133513353</v>
      </c>
      <c r="AW116" s="4">
        <v>19.862572746586178</v>
      </c>
      <c r="AX116" s="4">
        <v>21.064174468048243</v>
      </c>
      <c r="AY116" s="4">
        <v>23.365526431465096</v>
      </c>
      <c r="AZ116" s="4"/>
      <c r="BA116" s="4"/>
      <c r="BI116" s="96"/>
      <c r="BJ116" s="3">
        <v>10000</v>
      </c>
      <c r="BK116" s="62">
        <v>1.1782996166781208</v>
      </c>
      <c r="BL116" s="62">
        <v>1.0337841334482933</v>
      </c>
      <c r="BM116" s="62">
        <v>0.94839511495989026</v>
      </c>
      <c r="BN116" s="62">
        <v>0.90329398235623504</v>
      </c>
      <c r="BO116" s="62">
        <v>0.88793696836034242</v>
      </c>
      <c r="BP116" s="62">
        <v>0.89957130955166975</v>
      </c>
      <c r="BQ116" s="62">
        <v>0.9340304790610694</v>
      </c>
      <c r="BR116" s="62">
        <v>0.99593227309784116</v>
      </c>
      <c r="BS116" s="62">
        <v>1.1144888735928979</v>
      </c>
      <c r="BT116" s="62"/>
      <c r="BU116" s="62"/>
    </row>
    <row r="117" spans="1:80" x14ac:dyDescent="0.25">
      <c r="A117" s="96"/>
      <c r="B117" s="3">
        <v>10500</v>
      </c>
      <c r="C117" s="37">
        <f t="shared" si="21"/>
        <v>0.67480092943207404</v>
      </c>
      <c r="D117" s="37">
        <f t="shared" si="22"/>
        <v>0.48121738651766666</v>
      </c>
      <c r="E117" s="37">
        <f t="shared" si="23"/>
        <v>0.36376551623864534</v>
      </c>
      <c r="F117" s="37">
        <f t="shared" si="24"/>
        <v>0.28937996208725197</v>
      </c>
      <c r="G117" s="37">
        <f t="shared" si="25"/>
        <v>0.24115367130282511</v>
      </c>
      <c r="H117" s="37">
        <f t="shared" si="26"/>
        <v>0.21101450352633569</v>
      </c>
      <c r="I117" s="37">
        <f t="shared" si="27"/>
        <v>0.19307931216605606</v>
      </c>
      <c r="J117" s="37">
        <f t="shared" si="28"/>
        <v>0.18595049057774085</v>
      </c>
      <c r="K117" s="37">
        <f t="shared" si="29"/>
        <v>0.19578230146260656</v>
      </c>
      <c r="L117" s="37" t="str">
        <f t="shared" si="30"/>
        <v/>
      </c>
      <c r="M117" s="37"/>
      <c r="U117" s="96"/>
      <c r="V117" s="3">
        <v>10500</v>
      </c>
      <c r="W117" s="37">
        <v>0.97461347929963704</v>
      </c>
      <c r="X117" s="37">
        <v>0.80589327416573653</v>
      </c>
      <c r="Y117" s="37">
        <v>0.71010442150712705</v>
      </c>
      <c r="Z117" s="37">
        <v>0.65278237046290588</v>
      </c>
      <c r="AA117" s="37">
        <v>0.61764468546604034</v>
      </c>
      <c r="AB117" s="37">
        <v>0.59741817949512055</v>
      </c>
      <c r="AC117" s="37">
        <v>0.58715666062103811</v>
      </c>
      <c r="AD117" s="37">
        <v>0.58605692762054518</v>
      </c>
      <c r="AE117" s="37">
        <v>0.60065856115581062</v>
      </c>
      <c r="AF117" s="37"/>
      <c r="AG117" s="37"/>
      <c r="AO117" s="96"/>
      <c r="AP117" s="3">
        <v>10500</v>
      </c>
      <c r="AQ117" s="4">
        <v>26.328739822702474</v>
      </c>
      <c r="AR117" s="4">
        <v>23.182275613788434</v>
      </c>
      <c r="AS117" s="4">
        <v>21.272497838835051</v>
      </c>
      <c r="AT117" s="4">
        <v>20.199870624429892</v>
      </c>
      <c r="AU117" s="4">
        <v>19.7367611851767</v>
      </c>
      <c r="AV117" s="4">
        <v>19.810038609537521</v>
      </c>
      <c r="AW117" s="4">
        <v>20.329392692331279</v>
      </c>
      <c r="AX117" s="4">
        <v>21.367571077857658</v>
      </c>
      <c r="AY117" s="4">
        <v>23.44151966937028</v>
      </c>
      <c r="AZ117" s="4"/>
      <c r="BA117" s="4"/>
      <c r="BI117" s="96"/>
      <c r="BJ117" s="3">
        <v>10500</v>
      </c>
      <c r="BK117" s="62">
        <v>1.2878034968652112</v>
      </c>
      <c r="BL117" s="62">
        <v>1.1232408444389581</v>
      </c>
      <c r="BM117" s="62">
        <v>1.0233579043118541</v>
      </c>
      <c r="BN117" s="62">
        <v>0.96725862342156932</v>
      </c>
      <c r="BO117" s="62">
        <v>0.94303762085264353</v>
      </c>
      <c r="BP117" s="62">
        <v>0.94687009009911327</v>
      </c>
      <c r="BQ117" s="62">
        <v>0.97403273354212971</v>
      </c>
      <c r="BR117" s="62">
        <v>1.028330312497522</v>
      </c>
      <c r="BS117" s="62">
        <v>1.1367995206480899</v>
      </c>
      <c r="BT117" s="62"/>
      <c r="BU117" s="62"/>
    </row>
    <row r="118" spans="1:80" x14ac:dyDescent="0.25">
      <c r="A118" s="96"/>
      <c r="B118" s="3">
        <v>11000</v>
      </c>
      <c r="C118" s="37">
        <f t="shared" si="21"/>
        <v>0.6846341143999819</v>
      </c>
      <c r="D118" s="37">
        <f t="shared" si="22"/>
        <v>0.48267300850023931</v>
      </c>
      <c r="E118" s="37">
        <f t="shared" si="23"/>
        <v>0.36079824578722863</v>
      </c>
      <c r="F118" s="37">
        <f t="shared" si="24"/>
        <v>0.28394188232668716</v>
      </c>
      <c r="G118" s="37">
        <f t="shared" si="25"/>
        <v>0.23430895225744272</v>
      </c>
      <c r="H118" s="37">
        <f t="shared" si="26"/>
        <v>0.20346467792805267</v>
      </c>
      <c r="I118" s="37">
        <f t="shared" si="27"/>
        <v>0.1852699499927121</v>
      </c>
      <c r="J118" s="37">
        <f t="shared" si="28"/>
        <v>0.17831402380127215</v>
      </c>
      <c r="K118" s="37">
        <f t="shared" si="29"/>
        <v>0.18918958336567829</v>
      </c>
      <c r="L118" s="37" t="str">
        <f t="shared" si="30"/>
        <v/>
      </c>
      <c r="M118" s="37"/>
      <c r="U118" s="96"/>
      <c r="V118" s="3">
        <v>11000</v>
      </c>
      <c r="W118" s="37">
        <v>1.0025745354888804</v>
      </c>
      <c r="X118" s="37">
        <v>0.81033323452623729</v>
      </c>
      <c r="Y118" s="37">
        <v>0.70204918982582198</v>
      </c>
      <c r="Z118" s="37">
        <v>0.63770801211652106</v>
      </c>
      <c r="AA118" s="37">
        <v>0.59855625211574637</v>
      </c>
      <c r="AB118" s="37">
        <v>0.57628720555753965</v>
      </c>
      <c r="AC118" s="37">
        <v>0.56527055682720739</v>
      </c>
      <c r="AD118" s="37">
        <v>0.56465050096745539</v>
      </c>
      <c r="AE118" s="37">
        <v>0.58208752816557685</v>
      </c>
      <c r="AF118" s="37"/>
      <c r="AG118" s="37"/>
      <c r="AO118" s="96"/>
      <c r="AP118" s="3">
        <v>11000</v>
      </c>
      <c r="AQ118" s="4">
        <v>26.258680781440191</v>
      </c>
      <c r="AR118" s="4">
        <v>23.11592545680444</v>
      </c>
      <c r="AS118" s="4">
        <v>21.209543123042231</v>
      </c>
      <c r="AT118" s="4">
        <v>20.139482275919786</v>
      </c>
      <c r="AU118" s="4">
        <v>19.677957525948056</v>
      </c>
      <c r="AV118" s="4">
        <v>19.752237838043371</v>
      </c>
      <c r="AW118" s="4">
        <v>20.271170838106482</v>
      </c>
      <c r="AX118" s="4">
        <v>21.307630466987241</v>
      </c>
      <c r="AY118" s="4">
        <v>23.38132992162739</v>
      </c>
      <c r="AZ118" s="4"/>
      <c r="BA118" s="4"/>
      <c r="BI118" s="96"/>
      <c r="BJ118" s="3">
        <v>11000</v>
      </c>
      <c r="BK118" s="62">
        <v>1.3045905972022869</v>
      </c>
      <c r="BL118" s="62">
        <v>1.1377742267316062</v>
      </c>
      <c r="BM118" s="62">
        <v>1.0365841088898693</v>
      </c>
      <c r="BN118" s="62">
        <v>0.97978564758412423</v>
      </c>
      <c r="BO118" s="62">
        <v>0.95528807277479832</v>
      </c>
      <c r="BP118" s="62">
        <v>0.95923084616349841</v>
      </c>
      <c r="BQ118" s="62">
        <v>0.98677563111999911</v>
      </c>
      <c r="BR118" s="62">
        <v>1.0417905513315546</v>
      </c>
      <c r="BS118" s="62">
        <v>1.151861804336334</v>
      </c>
      <c r="BT118" s="62"/>
      <c r="BU118" s="62"/>
    </row>
    <row r="119" spans="1:80" x14ac:dyDescent="0.25">
      <c r="A119" s="96"/>
      <c r="B119" s="3">
        <v>11500</v>
      </c>
      <c r="C119" s="37">
        <f t="shared" si="21"/>
        <v>0.76932512300961209</v>
      </c>
      <c r="D119" s="37">
        <f t="shared" si="22"/>
        <v>0.53484495636322493</v>
      </c>
      <c r="E119" s="37">
        <f t="shared" si="23"/>
        <v>0.3938622818846903</v>
      </c>
      <c r="F119" s="37">
        <f t="shared" si="24"/>
        <v>0.30495902484779203</v>
      </c>
      <c r="G119" s="37">
        <f t="shared" si="25"/>
        <v>0.24724937516294726</v>
      </c>
      <c r="H119" s="37">
        <f t="shared" si="26"/>
        <v>0.2106767858745841</v>
      </c>
      <c r="I119" s="37">
        <f t="shared" si="27"/>
        <v>0.18824277437647052</v>
      </c>
      <c r="J119" s="37">
        <f t="shared" si="28"/>
        <v>0.17799469526893508</v>
      </c>
      <c r="K119" s="37">
        <f>IF(w_co2*((AE119-$AJ$102)/$AJ$104)+w_resource*((K69-$P$52)/$P$54)&gt;=0,w_co2*((AE119-$AJ$102)/$AJ$104)+w_resource*((K69-$P$52)/$P$54),"")</f>
        <v>0.18603561084536205</v>
      </c>
      <c r="L119" s="37" t="str">
        <f t="shared" si="30"/>
        <v/>
      </c>
      <c r="M119" s="37"/>
      <c r="U119" s="96"/>
      <c r="V119" s="3">
        <v>11500</v>
      </c>
      <c r="W119" s="37">
        <v>1.1232400823738797</v>
      </c>
      <c r="X119" s="37">
        <v>0.87301883299530603</v>
      </c>
      <c r="Y119" s="37">
        <v>0.73291263410364049</v>
      </c>
      <c r="Z119" s="37">
        <v>0.64982181694755892</v>
      </c>
      <c r="AA119" s="37">
        <v>0.59898981042944677</v>
      </c>
      <c r="AB119" s="37">
        <v>0.56925109285424202</v>
      </c>
      <c r="AC119" s="37">
        <v>0.55337065159878795</v>
      </c>
      <c r="AD119" s="37">
        <v>0.54977421482549294</v>
      </c>
      <c r="AE119" s="37">
        <v>0.5662348441008902</v>
      </c>
      <c r="AF119" s="37"/>
      <c r="AG119" s="37"/>
      <c r="AO119" s="96"/>
      <c r="AP119" s="3">
        <v>11500</v>
      </c>
      <c r="AQ119" s="4">
        <v>29.009311229139438</v>
      </c>
      <c r="AR119" s="4">
        <v>25.39388060487267</v>
      </c>
      <c r="AS119" s="4">
        <v>23.156064347161507</v>
      </c>
      <c r="AT119" s="4">
        <v>21.845851837944</v>
      </c>
      <c r="AU119" s="4">
        <v>21.203368367140399</v>
      </c>
      <c r="AV119" s="4">
        <v>21.133391524245326</v>
      </c>
      <c r="AW119" s="4">
        <v>21.532560943507267</v>
      </c>
      <c r="AX119" s="4">
        <v>22.460897887364546</v>
      </c>
      <c r="AY119" s="4">
        <v>24.411299171223657</v>
      </c>
      <c r="AZ119" s="4"/>
      <c r="BA119" s="4"/>
      <c r="BI119" s="96"/>
      <c r="BJ119" s="3">
        <v>11500</v>
      </c>
      <c r="BK119" s="62">
        <v>1.5137713199980225</v>
      </c>
      <c r="BL119" s="62">
        <v>1.3139916072354074</v>
      </c>
      <c r="BM119" s="62">
        <v>1.1903354413058747</v>
      </c>
      <c r="BN119" s="62">
        <v>1.1179363536307947</v>
      </c>
      <c r="BO119" s="62">
        <v>1.0824343134615402</v>
      </c>
      <c r="BP119" s="62">
        <v>1.0785675669999213</v>
      </c>
      <c r="BQ119" s="62">
        <v>1.1006246772618402</v>
      </c>
      <c r="BR119" s="62">
        <v>1.1519222700702612</v>
      </c>
      <c r="BS119" s="62">
        <v>1.2596965987064888</v>
      </c>
      <c r="BT119" s="62"/>
      <c r="BU119" s="62"/>
    </row>
    <row r="120" spans="1:80" x14ac:dyDescent="0.25">
      <c r="A120" s="96"/>
      <c r="B120" s="3">
        <v>12000</v>
      </c>
      <c r="C120" s="37">
        <f t="shared" si="21"/>
        <v>0.86718998268889824</v>
      </c>
      <c r="D120" s="37">
        <f t="shared" si="22"/>
        <v>0.59113586284582453</v>
      </c>
      <c r="E120" s="37">
        <f t="shared" si="23"/>
        <v>0.4260871507430295</v>
      </c>
      <c r="F120" s="37">
        <f t="shared" si="24"/>
        <v>0.32222714989125223</v>
      </c>
      <c r="G120" s="37">
        <f t="shared" si="25"/>
        <v>0.25463793407568969</v>
      </c>
      <c r="H120" s="37">
        <f t="shared" si="26"/>
        <v>0.21119360938031589</v>
      </c>
      <c r="I120" s="37">
        <f t="shared" si="27"/>
        <v>0.18378422214759216</v>
      </c>
      <c r="J120" s="37">
        <f t="shared" si="28"/>
        <v>0.16980295342959639</v>
      </c>
      <c r="K120" s="37">
        <f t="shared" si="29"/>
        <v>0.17488578464690721</v>
      </c>
      <c r="L120" s="37" t="str">
        <f t="shared" si="30"/>
        <v/>
      </c>
      <c r="M120" s="37" t="str">
        <f t="shared" si="30"/>
        <v/>
      </c>
      <c r="U120" s="96"/>
      <c r="V120" s="3">
        <v>12000</v>
      </c>
      <c r="W120" s="37">
        <v>1.2701323185569648</v>
      </c>
      <c r="X120" s="37">
        <v>0.93899988702084425</v>
      </c>
      <c r="Y120" s="37">
        <v>0.75471632247505416</v>
      </c>
      <c r="Z120" s="37">
        <v>0.64572724919553892</v>
      </c>
      <c r="AA120" s="37">
        <v>0.5788359774313302</v>
      </c>
      <c r="AB120" s="37">
        <v>0.53886533211595733</v>
      </c>
      <c r="AC120" s="37">
        <v>0.51634373397475497</v>
      </c>
      <c r="AD120" s="37">
        <v>0.50868691408369793</v>
      </c>
      <c r="AE120" s="37">
        <v>0.52378546815221005</v>
      </c>
      <c r="AF120" s="37"/>
      <c r="AG120" s="37"/>
      <c r="AO120" s="96"/>
      <c r="AP120" s="3">
        <v>12000</v>
      </c>
      <c r="AQ120" s="4">
        <v>32.1234266794091</v>
      </c>
      <c r="AR120" s="4">
        <v>27.979587536427555</v>
      </c>
      <c r="AS120" s="4">
        <v>25.372718477359481</v>
      </c>
      <c r="AT120" s="4">
        <v>23.796625583738006</v>
      </c>
      <c r="AU120" s="4">
        <v>22.955490283369272</v>
      </c>
      <c r="AV120" s="4">
        <v>22.729324207704824</v>
      </c>
      <c r="AW120" s="4">
        <v>23.001070505590256</v>
      </c>
      <c r="AX120" s="4">
        <v>23.817160185651453</v>
      </c>
      <c r="AY120" s="4">
        <v>25.643941143327122</v>
      </c>
      <c r="AZ120" s="4"/>
      <c r="BA120" s="4"/>
      <c r="BI120" s="96"/>
      <c r="BJ120" s="3">
        <v>12000</v>
      </c>
      <c r="BK120" s="62">
        <v>1.7586803985096688</v>
      </c>
      <c r="BL120" s="62">
        <v>1.5203071591663806</v>
      </c>
      <c r="BM120" s="62">
        <v>1.3703477131762218</v>
      </c>
      <c r="BN120" s="62">
        <v>1.2796833906494147</v>
      </c>
      <c r="BO120" s="62">
        <v>1.2312973072720035</v>
      </c>
      <c r="BP120" s="62">
        <v>1.2182871642076893</v>
      </c>
      <c r="BQ120" s="62">
        <v>1.233919297374878</v>
      </c>
      <c r="BR120" s="62">
        <v>1.2808646381370308</v>
      </c>
      <c r="BS120" s="62">
        <v>1.3859497245572696</v>
      </c>
      <c r="BT120" s="62"/>
      <c r="BU120" s="62"/>
    </row>
    <row r="121" spans="1:80" x14ac:dyDescent="0.25">
      <c r="A121" s="96"/>
      <c r="B121" s="3">
        <v>12500</v>
      </c>
      <c r="C121" s="37">
        <f t="shared" si="21"/>
        <v>1</v>
      </c>
      <c r="D121" s="37">
        <f t="shared" si="22"/>
        <v>0.67675872291241923</v>
      </c>
      <c r="E121" s="37">
        <f t="shared" si="23"/>
        <v>0.48451499737630965</v>
      </c>
      <c r="F121" s="37">
        <f t="shared" si="24"/>
        <v>0.36381564526734089</v>
      </c>
      <c r="G121" s="37">
        <f t="shared" si="25"/>
        <v>0.28513051665929112</v>
      </c>
      <c r="H121" s="37">
        <f t="shared" si="26"/>
        <v>0.23396852788337302</v>
      </c>
      <c r="I121" s="37">
        <f t="shared" si="27"/>
        <v>0.20095614582434493</v>
      </c>
      <c r="J121" s="37">
        <f t="shared" si="28"/>
        <v>0.18272920534143433</v>
      </c>
      <c r="K121" s="37">
        <f t="shared" si="29"/>
        <v>0.18432601812098301</v>
      </c>
      <c r="L121" s="37" t="str">
        <f t="shared" si="30"/>
        <v/>
      </c>
      <c r="M121" s="37" t="str">
        <f t="shared" si="30"/>
        <v/>
      </c>
      <c r="U121" s="96"/>
      <c r="V121" s="3">
        <v>12500</v>
      </c>
      <c r="W121" s="37">
        <v>1.5037119263051442</v>
      </c>
      <c r="X121" s="37">
        <v>1.0786455850681709</v>
      </c>
      <c r="Y121" s="37">
        <v>0.84312268367165277</v>
      </c>
      <c r="Z121" s="37">
        <v>0.7040778536961948</v>
      </c>
      <c r="AA121" s="37">
        <v>0.61847159898540882</v>
      </c>
      <c r="AB121" s="37">
        <v>0.56640046843535352</v>
      </c>
      <c r="AC121" s="37">
        <v>0.53581133599147301</v>
      </c>
      <c r="AD121" s="37">
        <v>0.52284917800174657</v>
      </c>
      <c r="AE121" s="37">
        <v>0.53510511830948948</v>
      </c>
      <c r="AF121" s="37"/>
      <c r="AG121" s="37"/>
      <c r="AO121" s="96"/>
      <c r="AP121" s="3">
        <v>12500</v>
      </c>
      <c r="AQ121" s="4">
        <v>35.645525975200378</v>
      </c>
      <c r="AR121" s="4">
        <v>30.910471902645853</v>
      </c>
      <c r="AS121" s="4">
        <v>27.892096035110242</v>
      </c>
      <c r="AT121" s="4">
        <v>26.021020941906855</v>
      </c>
      <c r="AU121" s="4">
        <v>24.961143414800851</v>
      </c>
      <c r="AV121" s="4">
        <v>24.565130149094983</v>
      </c>
      <c r="AW121" s="4">
        <v>24.700552451069662</v>
      </c>
      <c r="AX121" s="4">
        <v>25.399387480426842</v>
      </c>
      <c r="AY121" s="4">
        <v>27.10159272304416</v>
      </c>
      <c r="AZ121" s="4"/>
      <c r="BA121" s="4"/>
      <c r="BI121" s="96"/>
      <c r="BJ121" s="3">
        <v>12500</v>
      </c>
      <c r="BK121" s="62">
        <v>2.0454202851291208</v>
      </c>
      <c r="BL121" s="62">
        <v>1.7618616916812035</v>
      </c>
      <c r="BM121" s="62">
        <v>1.5811063291487144</v>
      </c>
      <c r="BN121" s="62">
        <v>1.469057044487019</v>
      </c>
      <c r="BO121" s="62">
        <v>1.4055863055665876</v>
      </c>
      <c r="BP121" s="62">
        <v>1.3818710611597393</v>
      </c>
      <c r="BQ121" s="62">
        <v>1.3899808222904508</v>
      </c>
      <c r="BR121" s="62">
        <v>1.4318305403591927</v>
      </c>
      <c r="BS121" s="62">
        <v>1.5337670582870304</v>
      </c>
      <c r="BT121" s="62"/>
      <c r="BU121" s="62"/>
    </row>
    <row r="122" spans="1:80" s="1" customFormat="1" x14ac:dyDescent="0.25">
      <c r="T122" s="33"/>
      <c r="CB122" s="19"/>
    </row>
    <row r="123" spans="1:80" s="1" customFormat="1" x14ac:dyDescent="0.25">
      <c r="T123" s="33"/>
      <c r="CB123" s="19"/>
    </row>
    <row r="124" spans="1:80" x14ac:dyDescent="0.25">
      <c r="A124" s="22" t="s">
        <v>497</v>
      </c>
    </row>
    <row r="125" spans="1:80" x14ac:dyDescent="0.25">
      <c r="C125" s="97" t="s">
        <v>174</v>
      </c>
      <c r="D125" s="97"/>
      <c r="E125" s="97"/>
      <c r="F125" s="97"/>
      <c r="G125" s="97"/>
      <c r="H125" s="97"/>
      <c r="I125" s="97"/>
      <c r="J125" s="97"/>
      <c r="K125" s="97"/>
      <c r="L125" s="32"/>
    </row>
    <row r="126" spans="1:80" x14ac:dyDescent="0.25">
      <c r="C126" s="3">
        <v>0.4</v>
      </c>
      <c r="D126" s="3">
        <v>0.45</v>
      </c>
      <c r="E126" s="3">
        <v>0.5</v>
      </c>
      <c r="F126" s="3">
        <v>0.55000000000000004</v>
      </c>
      <c r="G126" s="3">
        <v>0.6</v>
      </c>
      <c r="H126" s="3">
        <v>0.65</v>
      </c>
      <c r="I126" s="3">
        <v>0.7</v>
      </c>
      <c r="J126" s="3">
        <v>0.75</v>
      </c>
      <c r="K126" s="3">
        <v>0.8</v>
      </c>
      <c r="L126" s="3">
        <v>0.85</v>
      </c>
      <c r="M126" s="3">
        <v>0.9</v>
      </c>
    </row>
    <row r="127" spans="1:80" x14ac:dyDescent="0.25">
      <c r="A127" s="96" t="s">
        <v>175</v>
      </c>
      <c r="B127" s="3">
        <v>3000</v>
      </c>
      <c r="C127" s="37">
        <f t="shared" ref="C127:C146" si="31">w_doc*BK77+w_env*C102</f>
        <v>0.3806009905312211</v>
      </c>
      <c r="D127" s="37">
        <f t="shared" ref="D127:D146" si="32">w_doc*BL77+w_env*D102</f>
        <v>0.2709763232358397</v>
      </c>
      <c r="E127" s="37">
        <f t="shared" ref="E127:E146" si="33">w_doc*BM77+w_env*E102</f>
        <v>0.19585074609978578</v>
      </c>
      <c r="F127" s="37">
        <f t="shared" ref="F127:F146" si="34">w_doc*BN77+w_env*F102</f>
        <v>0.1411976029411135</v>
      </c>
      <c r="G127" s="37">
        <f t="shared" ref="G127:G146" si="35">w_doc*BO77+w_env*G102</f>
        <v>0.10137476014298774</v>
      </c>
      <c r="H127" s="37">
        <f t="shared" ref="H127:H146" si="36">w_doc*BP77+w_env*H102</f>
        <v>7.5149345138459556E-2</v>
      </c>
      <c r="I127" s="37">
        <f t="shared" ref="I127:I146" si="37">w_doc*BQ77+w_env*I102</f>
        <v>5.9658672423543987E-2</v>
      </c>
      <c r="J127" s="37">
        <f t="shared" ref="J127:J146" si="38">w_doc*BR77+w_env*J102</f>
        <v>5.6312612185898642E-2</v>
      </c>
      <c r="K127" s="37">
        <f t="shared" ref="K127:K146" si="39">w_doc*BS77+w_env*K102</f>
        <v>7.7572855334365851E-2</v>
      </c>
      <c r="L127" s="37" t="e">
        <f t="shared" ref="L127:M146" si="40">w_doc*BT77+w_env*L102</f>
        <v>#VALUE!</v>
      </c>
      <c r="M127" s="37" t="e">
        <f t="shared" si="40"/>
        <v>#VALUE!</v>
      </c>
    </row>
    <row r="128" spans="1:80" x14ac:dyDescent="0.25">
      <c r="A128" s="96"/>
      <c r="B128" s="3">
        <v>3500</v>
      </c>
      <c r="C128" s="37">
        <f t="shared" si="31"/>
        <v>0.4009548397461597</v>
      </c>
      <c r="D128" s="37">
        <f t="shared" si="32"/>
        <v>0.28664833115146415</v>
      </c>
      <c r="E128" s="37">
        <f t="shared" si="33"/>
        <v>0.20826413015545511</v>
      </c>
      <c r="F128" s="37">
        <f t="shared" si="34"/>
        <v>0.15070388621733963</v>
      </c>
      <c r="G128" s="37">
        <f t="shared" si="35"/>
        <v>0.10866013588856492</v>
      </c>
      <c r="H128" s="37">
        <f t="shared" si="36"/>
        <v>8.020946795203987E-2</v>
      </c>
      <c r="I128" s="37">
        <f t="shared" si="37"/>
        <v>6.2157886338029322E-2</v>
      </c>
      <c r="J128" s="37">
        <f t="shared" si="38"/>
        <v>5.6136603917163172E-2</v>
      </c>
      <c r="K128" s="37">
        <f t="shared" si="39"/>
        <v>7.3139219632616284E-2</v>
      </c>
      <c r="L128" s="37" t="e">
        <f t="shared" si="40"/>
        <v>#VALUE!</v>
      </c>
      <c r="M128" s="37" t="e">
        <f t="shared" si="40"/>
        <v>#VALUE!</v>
      </c>
    </row>
    <row r="129" spans="1:16" x14ac:dyDescent="0.25">
      <c r="A129" s="96"/>
      <c r="B129" s="3">
        <v>4000</v>
      </c>
      <c r="C129" s="37">
        <f t="shared" si="31"/>
        <v>0.41287031723870909</v>
      </c>
      <c r="D129" s="37">
        <f t="shared" si="32"/>
        <v>0.29464279692628281</v>
      </c>
      <c r="E129" s="37">
        <f t="shared" si="33"/>
        <v>0.21306547137414042</v>
      </c>
      <c r="F129" s="37">
        <f t="shared" si="34"/>
        <v>0.15380956280004382</v>
      </c>
      <c r="G129" s="37">
        <f t="shared" si="35"/>
        <v>0.1099204357713494</v>
      </c>
      <c r="H129" s="37">
        <f t="shared" si="36"/>
        <v>7.9597618029182221E-2</v>
      </c>
      <c r="I129" s="37">
        <f t="shared" si="37"/>
        <v>5.9573523865058181E-2</v>
      </c>
      <c r="J129" s="37">
        <f t="shared" si="38"/>
        <v>5.1212266233929327E-2</v>
      </c>
      <c r="K129" s="37">
        <f t="shared" si="39"/>
        <v>6.4806842845112983E-2</v>
      </c>
      <c r="L129" s="37" t="e">
        <f t="shared" si="40"/>
        <v>#VALUE!</v>
      </c>
      <c r="M129" s="37" t="e">
        <f t="shared" si="40"/>
        <v>#VALUE!</v>
      </c>
    </row>
    <row r="130" spans="1:16" x14ac:dyDescent="0.25">
      <c r="A130" s="96"/>
      <c r="B130" s="3">
        <v>4500</v>
      </c>
      <c r="C130" s="37">
        <f t="shared" si="31"/>
        <v>0.42640352343137988</v>
      </c>
      <c r="D130" s="37">
        <f t="shared" si="32"/>
        <v>0.30347331018436968</v>
      </c>
      <c r="E130" s="37">
        <f t="shared" si="33"/>
        <v>0.21851871292290803</v>
      </c>
      <c r="F130" s="37">
        <f t="shared" si="34"/>
        <v>0.15713539086354997</v>
      </c>
      <c r="G130" s="37">
        <f t="shared" si="35"/>
        <v>0.11140440649071234</v>
      </c>
      <c r="H130" s="37">
        <f t="shared" si="36"/>
        <v>7.9249438045024517E-2</v>
      </c>
      <c r="I130" s="37">
        <f t="shared" si="37"/>
        <v>5.7326897347535835E-2</v>
      </c>
      <c r="J130" s="37">
        <f t="shared" si="38"/>
        <v>4.6510205972521923E-2</v>
      </c>
      <c r="K130" s="37">
        <f t="shared" si="39"/>
        <v>5.6729670742352488E-2</v>
      </c>
      <c r="L130" s="37" t="e">
        <f t="shared" si="40"/>
        <v>#VALUE!</v>
      </c>
      <c r="M130" s="37" t="e">
        <f t="shared" si="40"/>
        <v>#VALUE!</v>
      </c>
    </row>
    <row r="131" spans="1:16" ht="14.25" customHeight="1" x14ac:dyDescent="0.25">
      <c r="A131" s="96"/>
      <c r="B131" s="3">
        <v>5000</v>
      </c>
      <c r="C131" s="37">
        <f t="shared" si="31"/>
        <v>0.44147511104662951</v>
      </c>
      <c r="D131" s="37">
        <f t="shared" si="32"/>
        <v>0.31359435337339947</v>
      </c>
      <c r="E131" s="37">
        <f t="shared" si="33"/>
        <v>0.2254560370252619</v>
      </c>
      <c r="F131" s="37">
        <f t="shared" si="34"/>
        <v>0.16141350266455218</v>
      </c>
      <c r="G131" s="37">
        <f t="shared" si="35"/>
        <v>0.1137728514455108</v>
      </c>
      <c r="H131" s="37">
        <f t="shared" si="36"/>
        <v>7.9478118526554925E-2</v>
      </c>
      <c r="I131" s="37">
        <f t="shared" si="37"/>
        <v>5.5704478578860205E-2</v>
      </c>
      <c r="J131" s="37">
        <f t="shared" si="38"/>
        <v>4.3000230169897249E-2</v>
      </c>
      <c r="K131" s="37">
        <f t="shared" si="39"/>
        <v>4.9779995043551122E-2</v>
      </c>
      <c r="L131" s="37" t="e">
        <f t="shared" si="40"/>
        <v>#VALUE!</v>
      </c>
      <c r="M131" s="37" t="e">
        <f t="shared" si="40"/>
        <v>#VALUE!</v>
      </c>
    </row>
    <row r="132" spans="1:16" x14ac:dyDescent="0.25">
      <c r="A132" s="96"/>
      <c r="B132" s="3">
        <v>5500</v>
      </c>
      <c r="C132" s="37">
        <f t="shared" si="31"/>
        <v>0.45909811263628542</v>
      </c>
      <c r="D132" s="37">
        <f t="shared" si="32"/>
        <v>0.32639434742087481</v>
      </c>
      <c r="E132" s="37">
        <f t="shared" si="33"/>
        <v>0.23393187144857922</v>
      </c>
      <c r="F132" s="37">
        <f t="shared" si="34"/>
        <v>0.16750491400151341</v>
      </c>
      <c r="G132" s="37">
        <f t="shared" si="35"/>
        <v>0.11757389419010122</v>
      </c>
      <c r="H132" s="37">
        <f t="shared" si="36"/>
        <v>8.1467074037943954E-2</v>
      </c>
      <c r="I132" s="37">
        <f t="shared" si="37"/>
        <v>5.5915017251468947E-2</v>
      </c>
      <c r="J132" s="37">
        <f>w_doc*BR82+w_env*J107</f>
        <v>4.0999069678071154E-2</v>
      </c>
      <c r="K132" s="37">
        <f t="shared" si="39"/>
        <v>4.4719509660985687E-2</v>
      </c>
      <c r="L132" s="37" t="e">
        <f t="shared" si="40"/>
        <v>#VALUE!</v>
      </c>
      <c r="M132" s="37" t="e">
        <f t="shared" si="40"/>
        <v>#VALUE!</v>
      </c>
    </row>
    <row r="133" spans="1:16" x14ac:dyDescent="0.25">
      <c r="A133" s="96"/>
      <c r="B133" s="3">
        <v>6000</v>
      </c>
      <c r="C133" s="37">
        <f t="shared" si="31"/>
        <v>0.47711028605999312</v>
      </c>
      <c r="D133" s="37">
        <f t="shared" si="32"/>
        <v>0.33915909211010092</v>
      </c>
      <c r="E133" s="37">
        <f t="shared" si="33"/>
        <v>0.24251612951540749</v>
      </c>
      <c r="F133" s="37">
        <f t="shared" si="34"/>
        <v>0.17315655577188468</v>
      </c>
      <c r="G133" s="37">
        <f t="shared" si="35"/>
        <v>0.12121363534933338</v>
      </c>
      <c r="H133" s="37">
        <f t="shared" si="36"/>
        <v>8.301106808936401E-2</v>
      </c>
      <c r="I133" s="37">
        <f t="shared" si="37"/>
        <v>5.5527516808949254E-2</v>
      </c>
      <c r="J133" s="37">
        <f t="shared" si="38"/>
        <v>3.86308279653476E-2</v>
      </c>
      <c r="K133" s="37">
        <f t="shared" si="39"/>
        <v>3.999134437237982E-2</v>
      </c>
      <c r="L133" s="37" t="e">
        <f t="shared" si="40"/>
        <v>#VALUE!</v>
      </c>
      <c r="M133" s="37" t="e">
        <f t="shared" si="40"/>
        <v>#VALUE!</v>
      </c>
    </row>
    <row r="134" spans="1:16" x14ac:dyDescent="0.25">
      <c r="A134" s="96"/>
      <c r="B134" s="3">
        <v>6500</v>
      </c>
      <c r="C134" s="37">
        <f t="shared" si="31"/>
        <v>0.49827728876772626</v>
      </c>
      <c r="D134" s="37">
        <f t="shared" si="32"/>
        <v>0.35410302274286459</v>
      </c>
      <c r="E134" s="37">
        <f t="shared" si="33"/>
        <v>0.25299400309016074</v>
      </c>
      <c r="F134" s="37">
        <f t="shared" si="34"/>
        <v>0.18086432499614788</v>
      </c>
      <c r="G134" s="37">
        <f t="shared" si="35"/>
        <v>0.12639811517304031</v>
      </c>
      <c r="H134" s="37">
        <f t="shared" si="36"/>
        <v>8.598989952514613E-2</v>
      </c>
      <c r="I134" s="37">
        <f t="shared" si="37"/>
        <v>5.6488900141265022E-2</v>
      </c>
      <c r="J134" s="37">
        <f t="shared" si="38"/>
        <v>3.753745141564177E-2</v>
      </c>
      <c r="K134" s="37">
        <f>w_doc*BS84+w_env*K109</f>
        <v>3.6451591870830816E-2</v>
      </c>
      <c r="L134" s="37" t="e">
        <f t="shared" si="40"/>
        <v>#VALUE!</v>
      </c>
      <c r="M134" s="37" t="e">
        <f t="shared" si="40"/>
        <v>#VALUE!</v>
      </c>
    </row>
    <row r="135" spans="1:16" x14ac:dyDescent="0.25">
      <c r="A135" s="96"/>
      <c r="B135" s="3">
        <v>7000</v>
      </c>
      <c r="C135" s="37">
        <f t="shared" si="31"/>
        <v>0.52686507706642671</v>
      </c>
      <c r="D135" s="37">
        <f t="shared" si="32"/>
        <v>0.37566351234396067</v>
      </c>
      <c r="E135" s="37">
        <f t="shared" si="33"/>
        <v>0.26960700866419396</v>
      </c>
      <c r="F135" s="37">
        <f t="shared" si="34"/>
        <v>0.1940391230198116</v>
      </c>
      <c r="G135" s="37">
        <f t="shared" si="35"/>
        <v>0.13658787595464758</v>
      </c>
      <c r="H135" s="37">
        <f t="shared" si="36"/>
        <v>9.4272424900530061E-2</v>
      </c>
      <c r="I135" s="37">
        <f t="shared" si="37"/>
        <v>6.2796710714519047E-2</v>
      </c>
      <c r="J135" s="37">
        <f t="shared" si="38"/>
        <v>4.1925672605481884E-2</v>
      </c>
      <c r="K135" s="37">
        <f t="shared" si="39"/>
        <v>3.8276765116696532E-2</v>
      </c>
      <c r="L135" s="37" t="e">
        <f t="shared" si="40"/>
        <v>#VALUE!</v>
      </c>
      <c r="M135" s="37" t="e">
        <f t="shared" si="40"/>
        <v>#VALUE!</v>
      </c>
    </row>
    <row r="136" spans="1:16" x14ac:dyDescent="0.25">
      <c r="A136" s="96"/>
      <c r="B136" s="3">
        <v>7500</v>
      </c>
      <c r="C136" s="37">
        <f t="shared" si="31"/>
        <v>0.55802098877465245</v>
      </c>
      <c r="D136" s="37">
        <f t="shared" si="32"/>
        <v>0.39955667509435067</v>
      </c>
      <c r="E136" s="37">
        <f t="shared" si="33"/>
        <v>0.28834918856529501</v>
      </c>
      <c r="F136" s="37">
        <f t="shared" si="34"/>
        <v>0.20914845277917773</v>
      </c>
      <c r="G136" s="37">
        <f t="shared" si="35"/>
        <v>0.14920539115363077</v>
      </c>
      <c r="H136" s="37">
        <f t="shared" si="36"/>
        <v>0.10415212142823879</v>
      </c>
      <c r="I136" s="37">
        <f t="shared" si="37"/>
        <v>7.0524275832110905E-2</v>
      </c>
      <c r="J136" s="37">
        <f t="shared" si="38"/>
        <v>4.7514931202878724E-2</v>
      </c>
      <c r="K136" s="37">
        <f t="shared" si="39"/>
        <v>4.1150831834417166E-2</v>
      </c>
      <c r="L136" s="37" t="e">
        <f t="shared" si="40"/>
        <v>#VALUE!</v>
      </c>
      <c r="M136" s="37" t="e">
        <f t="shared" si="40"/>
        <v>#VALUE!</v>
      </c>
    </row>
    <row r="137" spans="1:16" x14ac:dyDescent="0.25">
      <c r="A137" s="96"/>
      <c r="B137" s="3">
        <v>8000</v>
      </c>
      <c r="C137" s="37">
        <f t="shared" si="31"/>
        <v>0.595265982208669</v>
      </c>
      <c r="D137" s="37">
        <f t="shared" si="32"/>
        <v>0.42921859126544948</v>
      </c>
      <c r="E137" s="37">
        <f t="shared" si="33"/>
        <v>0.31227558100376018</v>
      </c>
      <c r="F137" s="37">
        <f t="shared" si="34"/>
        <v>0.22866159639335354</v>
      </c>
      <c r="G137" s="37">
        <f t="shared" si="35"/>
        <v>0.16567850387698915</v>
      </c>
      <c r="H137" s="37">
        <f t="shared" si="36"/>
        <v>0.11809740893525889</v>
      </c>
      <c r="I137" s="37">
        <f t="shared" si="37"/>
        <v>8.1991024150289082E-2</v>
      </c>
      <c r="J137" s="37">
        <f t="shared" si="38"/>
        <v>5.6887132003339724E-2</v>
      </c>
      <c r="K137" s="37">
        <f t="shared" si="39"/>
        <v>4.7981103689763299E-2</v>
      </c>
      <c r="L137" s="37" t="e">
        <f t="shared" si="40"/>
        <v>#VALUE!</v>
      </c>
      <c r="M137" s="37" t="e">
        <f t="shared" si="40"/>
        <v>#VALUE!</v>
      </c>
    </row>
    <row r="138" spans="1:16" x14ac:dyDescent="0.25">
      <c r="A138" s="96"/>
      <c r="B138" s="3">
        <v>8500</v>
      </c>
      <c r="C138" s="37">
        <f t="shared" si="31"/>
        <v>0.63523978510964396</v>
      </c>
      <c r="D138" s="37">
        <f t="shared" si="32"/>
        <v>0.46557548895260076</v>
      </c>
      <c r="E138" s="37">
        <f t="shared" si="33"/>
        <v>0.34210710883287976</v>
      </c>
      <c r="F138" s="37">
        <f t="shared" si="34"/>
        <v>0.25394590173523535</v>
      </c>
      <c r="G138" s="37">
        <f t="shared" si="35"/>
        <v>0.1872405090647285</v>
      </c>
      <c r="H138" s="37">
        <f t="shared" si="36"/>
        <v>0.13667877047359034</v>
      </c>
      <c r="I138" s="37">
        <f t="shared" si="37"/>
        <v>9.8355751270308295E-2</v>
      </c>
      <c r="J138" s="37">
        <f t="shared" si="38"/>
        <v>7.097975645719623E-2</v>
      </c>
      <c r="K138" s="37">
        <f t="shared" si="39"/>
        <v>5.985274843317627E-2</v>
      </c>
      <c r="L138" s="37" t="e">
        <f t="shared" si="40"/>
        <v>#VALUE!</v>
      </c>
      <c r="M138" s="37" t="e">
        <f t="shared" si="40"/>
        <v>#VALUE!</v>
      </c>
    </row>
    <row r="139" spans="1:16" x14ac:dyDescent="0.25">
      <c r="A139" s="96"/>
      <c r="B139" s="3">
        <v>9000</v>
      </c>
      <c r="C139" s="37">
        <f t="shared" si="31"/>
        <v>0.68016748728808918</v>
      </c>
      <c r="D139" s="37">
        <f t="shared" si="32"/>
        <v>0.50686948669692</v>
      </c>
      <c r="E139" s="37">
        <f t="shared" si="33"/>
        <v>0.37565388570460534</v>
      </c>
      <c r="F139" s="37">
        <f t="shared" si="34"/>
        <v>0.28245709461775931</v>
      </c>
      <c r="G139" s="37">
        <f t="shared" si="35"/>
        <v>0.21169589570714664</v>
      </c>
      <c r="H139" s="37">
        <f t="shared" si="36"/>
        <v>0.15822944149998225</v>
      </c>
      <c r="I139" s="37">
        <f t="shared" si="37"/>
        <v>0.11749927993017859</v>
      </c>
      <c r="J139" s="37">
        <f t="shared" si="38"/>
        <v>8.7708031999445532E-2</v>
      </c>
      <c r="K139" s="37">
        <f t="shared" si="39"/>
        <v>7.4021942694878218E-2</v>
      </c>
      <c r="L139" s="37" t="e">
        <f t="shared" si="40"/>
        <v>#VALUE!</v>
      </c>
      <c r="M139" s="37" t="e">
        <f t="shared" si="40"/>
        <v>#VALUE!</v>
      </c>
    </row>
    <row r="140" spans="1:16" x14ac:dyDescent="0.25">
      <c r="A140" s="96"/>
      <c r="B140" s="3">
        <v>9500</v>
      </c>
      <c r="C140" s="37">
        <f t="shared" si="31"/>
        <v>0.72567865552635979</v>
      </c>
      <c r="D140" s="37">
        <f t="shared" si="32"/>
        <v>0.54827942858304235</v>
      </c>
      <c r="E140" s="37">
        <f t="shared" si="33"/>
        <v>0.41007542705640199</v>
      </c>
      <c r="F140" s="37">
        <f t="shared" si="34"/>
        <v>0.31475667671837787</v>
      </c>
      <c r="G140" s="37">
        <f t="shared" si="35"/>
        <v>0.24299241708070729</v>
      </c>
      <c r="H140" s="37">
        <f t="shared" si="36"/>
        <v>0.18913199073648501</v>
      </c>
      <c r="I140" s="37">
        <f t="shared" si="37"/>
        <v>0.14751284958804206</v>
      </c>
      <c r="J140" s="37">
        <f t="shared" si="38"/>
        <v>0.11734791441898906</v>
      </c>
      <c r="K140" s="37">
        <f t="shared" si="39"/>
        <v>0.10252450757468001</v>
      </c>
      <c r="L140" s="37" t="e">
        <f t="shared" si="40"/>
        <v>#VALUE!</v>
      </c>
      <c r="M140" s="37" t="e">
        <f t="shared" si="40"/>
        <v>#VALUE!</v>
      </c>
    </row>
    <row r="141" spans="1:16" x14ac:dyDescent="0.25">
      <c r="A141" s="96"/>
      <c r="B141" s="3">
        <v>10000</v>
      </c>
      <c r="C141" s="37">
        <f t="shared" si="31"/>
        <v>0.77742557449821859</v>
      </c>
      <c r="D141" s="37">
        <f t="shared" si="32"/>
        <v>0.59228866812775793</v>
      </c>
      <c r="E141" s="37">
        <f t="shared" si="33"/>
        <v>0.44708509430820181</v>
      </c>
      <c r="F141" s="37">
        <f t="shared" si="34"/>
        <v>0.34637260867659991</v>
      </c>
      <c r="G141" s="37">
        <f t="shared" si="35"/>
        <v>0.27038211548302321</v>
      </c>
      <c r="H141" s="37">
        <f t="shared" si="36"/>
        <v>0.21325412038681391</v>
      </c>
      <c r="I141" s="37">
        <f t="shared" si="37"/>
        <v>0.16897548756807734</v>
      </c>
      <c r="J141" s="37">
        <f t="shared" si="38"/>
        <v>0.13647402511968756</v>
      </c>
      <c r="K141" s="37">
        <f t="shared" si="39"/>
        <v>0.1191688286270158</v>
      </c>
      <c r="L141" s="37" t="e">
        <f t="shared" si="40"/>
        <v>#VALUE!</v>
      </c>
      <c r="M141" s="37" t="e">
        <f t="shared" si="40"/>
        <v>#VALUE!</v>
      </c>
    </row>
    <row r="142" spans="1:16" x14ac:dyDescent="0.25">
      <c r="A142" s="96"/>
      <c r="B142" s="3">
        <v>10500</v>
      </c>
      <c r="C142" s="37">
        <f t="shared" si="31"/>
        <v>0.82763472871531474</v>
      </c>
      <c r="D142" s="37">
        <f t="shared" si="32"/>
        <v>0.62871230643543496</v>
      </c>
      <c r="E142" s="37">
        <f t="shared" si="33"/>
        <v>0.47954371910927851</v>
      </c>
      <c r="F142" s="37">
        <f t="shared" si="34"/>
        <v>0.37174490090406226</v>
      </c>
      <c r="G142" s="37">
        <f t="shared" si="35"/>
        <v>0.29083518769213645</v>
      </c>
      <c r="H142" s="37">
        <f t="shared" si="36"/>
        <v>0.23001029826679525</v>
      </c>
      <c r="I142" s="37">
        <f t="shared" si="37"/>
        <v>0.18310832020661952</v>
      </c>
      <c r="J142" s="37">
        <f t="shared" si="38"/>
        <v>0.14813040088978394</v>
      </c>
      <c r="K142" s="37">
        <f t="shared" si="39"/>
        <v>0.12840634178502214</v>
      </c>
      <c r="L142" s="37" t="e">
        <f t="shared" si="40"/>
        <v>#VALUE!</v>
      </c>
      <c r="M142" s="37" t="e">
        <f t="shared" si="40"/>
        <v>#VALUE!</v>
      </c>
    </row>
    <row r="143" spans="1:16" x14ac:dyDescent="0.25">
      <c r="A143" s="96"/>
      <c r="B143" s="3">
        <v>11000</v>
      </c>
      <c r="C143" s="37">
        <f t="shared" si="31"/>
        <v>0.83888146407477748</v>
      </c>
      <c r="D143" s="37">
        <f t="shared" si="32"/>
        <v>0.63484627483991252</v>
      </c>
      <c r="E143" s="37">
        <f t="shared" si="33"/>
        <v>0.48312229174540194</v>
      </c>
      <c r="F143" s="37">
        <f t="shared" si="34"/>
        <v>0.3728773429029959</v>
      </c>
      <c r="G143" s="37">
        <f t="shared" si="35"/>
        <v>0.29124325145494634</v>
      </c>
      <c r="H143" s="37">
        <f t="shared" si="36"/>
        <v>0.22939667607042455</v>
      </c>
      <c r="I143" s="37">
        <f t="shared" si="37"/>
        <v>0.18210446221952098</v>
      </c>
      <c r="J143" s="37">
        <f t="shared" si="38"/>
        <v>0.14699099547651673</v>
      </c>
      <c r="K143" s="37">
        <f t="shared" si="39"/>
        <v>0.12760799640849549</v>
      </c>
      <c r="L143" s="37" t="e">
        <f t="shared" si="40"/>
        <v>#VALUE!</v>
      </c>
      <c r="M143" s="37" t="e">
        <f t="shared" si="40"/>
        <v>#VALUE!</v>
      </c>
      <c r="O143">
        <v>0.12702549714555009</v>
      </c>
      <c r="P143">
        <f>(O143-O144)/O143</f>
        <v>0.71303720363272138</v>
      </c>
    </row>
    <row r="144" spans="1:16" x14ac:dyDescent="0.25">
      <c r="A144" s="96"/>
      <c r="B144" s="3">
        <v>11500</v>
      </c>
      <c r="C144" s="37">
        <f t="shared" si="31"/>
        <v>0.88237986854179462</v>
      </c>
      <c r="D144" s="37">
        <f t="shared" si="32"/>
        <v>0.66177789938096621</v>
      </c>
      <c r="E144" s="37">
        <f t="shared" si="33"/>
        <v>0.50544198448677358</v>
      </c>
      <c r="F144" s="37">
        <f t="shared" si="34"/>
        <v>0.38784422891622161</v>
      </c>
      <c r="G144" s="37">
        <f t="shared" si="35"/>
        <v>0.3011747023338251</v>
      </c>
      <c r="H144" s="37">
        <f t="shared" si="36"/>
        <v>0.23566660520018418</v>
      </c>
      <c r="I144" s="37">
        <f t="shared" si="37"/>
        <v>0.18559392659333657</v>
      </c>
      <c r="J144" s="37">
        <f t="shared" si="38"/>
        <v>0.1485125636143457</v>
      </c>
      <c r="K144" s="37">
        <f t="shared" si="39"/>
        <v>0.12702549714555009</v>
      </c>
      <c r="L144" s="37" t="e">
        <f t="shared" si="40"/>
        <v>#VALUE!</v>
      </c>
      <c r="M144" s="37" t="e">
        <f t="shared" si="40"/>
        <v>#VALUE!</v>
      </c>
      <c r="O144">
        <v>3.6451591870830816E-2</v>
      </c>
    </row>
    <row r="145" spans="1:80" x14ac:dyDescent="0.25">
      <c r="A145" s="96"/>
      <c r="B145" s="3">
        <v>12000</v>
      </c>
      <c r="C145" s="37">
        <f t="shared" si="31"/>
        <v>0.93232757630136553</v>
      </c>
      <c r="D145" s="37">
        <f t="shared" si="32"/>
        <v>0.69062843362070669</v>
      </c>
      <c r="E145" s="37">
        <f t="shared" si="33"/>
        <v>0.52600111760607948</v>
      </c>
      <c r="F145" s="37">
        <f t="shared" si="34"/>
        <v>0.40124746420996066</v>
      </c>
      <c r="G145" s="37">
        <f t="shared" si="35"/>
        <v>0.30858938882673165</v>
      </c>
      <c r="H145" s="37">
        <f t="shared" si="36"/>
        <v>0.23881309889680394</v>
      </c>
      <c r="I145" s="37">
        <f t="shared" si="37"/>
        <v>0.18556895436125437</v>
      </c>
      <c r="J145" s="37">
        <f t="shared" si="38"/>
        <v>0.1457419868120422</v>
      </c>
      <c r="K145" s="37">
        <f t="shared" si="39"/>
        <v>0.12213435683803157</v>
      </c>
      <c r="L145" s="37" t="e">
        <f t="shared" si="40"/>
        <v>#VALUE!</v>
      </c>
      <c r="M145" s="37" t="e">
        <f t="shared" si="40"/>
        <v>#VALUE!</v>
      </c>
    </row>
    <row r="146" spans="1:80" x14ac:dyDescent="0.25">
      <c r="A146" s="96"/>
      <c r="B146" s="3">
        <v>12500</v>
      </c>
      <c r="C146" s="37">
        <f t="shared" si="31"/>
        <v>1</v>
      </c>
      <c r="D146" s="37">
        <f t="shared" si="32"/>
        <v>0.73439919477488558</v>
      </c>
      <c r="E146" s="37">
        <f t="shared" si="33"/>
        <v>0.55593253878179116</v>
      </c>
      <c r="F146" s="37">
        <f t="shared" si="34"/>
        <v>0.42753377012594423</v>
      </c>
      <c r="G146" s="37">
        <f t="shared" si="35"/>
        <v>0.32822308097630498</v>
      </c>
      <c r="H146" s="37">
        <f t="shared" si="36"/>
        <v>0.25371698880573013</v>
      </c>
      <c r="I146" s="37">
        <f t="shared" si="37"/>
        <v>0.19696138541573158</v>
      </c>
      <c r="J146" s="37">
        <f t="shared" si="38"/>
        <v>0.15439020572132611</v>
      </c>
      <c r="K146" s="37">
        <f t="shared" si="39"/>
        <v>0.12837939925093833</v>
      </c>
      <c r="L146" s="37" t="e">
        <f t="shared" si="40"/>
        <v>#VALUE!</v>
      </c>
      <c r="M146" s="37" t="e">
        <f t="shared" si="40"/>
        <v>#VALUE!</v>
      </c>
    </row>
    <row r="147" spans="1:80" s="1" customFormat="1" x14ac:dyDescent="0.25">
      <c r="T147" s="33"/>
      <c r="CB147" s="19"/>
    </row>
    <row r="148" spans="1:80" s="1" customFormat="1" x14ac:dyDescent="0.25">
      <c r="T148" s="33"/>
      <c r="CB148" s="19"/>
    </row>
    <row r="155" spans="1:80" x14ac:dyDescent="0.25">
      <c r="A155" s="99" t="s">
        <v>390</v>
      </c>
      <c r="B155" s="99"/>
      <c r="C155" s="99"/>
    </row>
    <row r="156" spans="1:80" x14ac:dyDescent="0.25">
      <c r="B156" s="4"/>
    </row>
    <row r="157" spans="1:80" x14ac:dyDescent="0.25">
      <c r="A157" t="s">
        <v>206</v>
      </c>
      <c r="B157" s="4">
        <v>0.5</v>
      </c>
    </row>
    <row r="158" spans="1:80" x14ac:dyDescent="0.25">
      <c r="A158" t="s">
        <v>207</v>
      </c>
      <c r="B158" s="4">
        <v>0.5</v>
      </c>
    </row>
    <row r="161" spans="1:3" x14ac:dyDescent="0.25">
      <c r="A161" s="99" t="s">
        <v>220</v>
      </c>
      <c r="B161" s="99"/>
      <c r="C161" s="99"/>
    </row>
    <row r="163" spans="1:3" x14ac:dyDescent="0.25">
      <c r="A163" t="s">
        <v>221</v>
      </c>
      <c r="B163" s="4">
        <v>0.5</v>
      </c>
    </row>
    <row r="164" spans="1:3" x14ac:dyDescent="0.25">
      <c r="A164" t="s">
        <v>222</v>
      </c>
      <c r="B164" s="4">
        <v>0.5</v>
      </c>
    </row>
  </sheetData>
  <mergeCells count="40">
    <mergeCell ref="BK100:BS100"/>
    <mergeCell ref="W25:AE25"/>
    <mergeCell ref="BK25:BS25"/>
    <mergeCell ref="AQ25:AY25"/>
    <mergeCell ref="BK50:BS50"/>
    <mergeCell ref="BK75:BS75"/>
    <mergeCell ref="A161:C161"/>
    <mergeCell ref="A155:C155"/>
    <mergeCell ref="C125:K125"/>
    <mergeCell ref="A77:A96"/>
    <mergeCell ref="A102:A121"/>
    <mergeCell ref="A127:A146"/>
    <mergeCell ref="C100:K100"/>
    <mergeCell ref="M1:O1"/>
    <mergeCell ref="A1:C1"/>
    <mergeCell ref="I1:K1"/>
    <mergeCell ref="E1:G1"/>
    <mergeCell ref="C25:K25"/>
    <mergeCell ref="BI102:BI121"/>
    <mergeCell ref="C50:K50"/>
    <mergeCell ref="AO27:AO46"/>
    <mergeCell ref="BI27:BI46"/>
    <mergeCell ref="AO102:AO121"/>
    <mergeCell ref="AO52:AO71"/>
    <mergeCell ref="BI77:BI96"/>
    <mergeCell ref="AO77:AO96"/>
    <mergeCell ref="AQ100:AY100"/>
    <mergeCell ref="W75:AE75"/>
    <mergeCell ref="U77:U96"/>
    <mergeCell ref="U102:U121"/>
    <mergeCell ref="W100:AE100"/>
    <mergeCell ref="C75:K75"/>
    <mergeCell ref="AQ75:AY75"/>
    <mergeCell ref="A27:A46"/>
    <mergeCell ref="U27:U46"/>
    <mergeCell ref="BI52:BI71"/>
    <mergeCell ref="W50:AE50"/>
    <mergeCell ref="U52:U71"/>
    <mergeCell ref="A52:A71"/>
    <mergeCell ref="AQ50:AY50"/>
  </mergeCells>
  <conditionalFormatting sqref="C31:L46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6:L71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L9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M12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M14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56:AF7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:AZ71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56:AY71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81:AF96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56:AH7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81:AH96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81:AY96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06:AF12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1:AF46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1:AE4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31:AZ4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31:AY46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31:BT46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31:BS46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31:CN46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31:CM46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06:AZ12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08:AH12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27:BT4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L4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7:AF46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7:AZ4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:L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52:AZ71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2:AF71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L96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7:AF9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77:AZ9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02:AF121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02:AZ12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77:BU9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56:BT7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52:BU7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81:BT9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06:BT12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102:BU1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M4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7:AG4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7:BA4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7:BU4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M7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52:AG7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52:BA7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7:M9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7:AG9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77:BA9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M12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02:AG1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02:BA1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alculate_Lift">
                <anchor moveWithCells="1" sizeWithCells="1">
                  <from>
                    <xdr:col>0</xdr:col>
                    <xdr:colOff>409575</xdr:colOff>
                    <xdr:row>17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alculate_fuelcons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8</xdr:col>
                    <xdr:colOff>914400</xdr:colOff>
                    <xdr:row>20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alculate_DOC2">
                <anchor moveWithCells="1" sizeWithCells="1">
                  <from>
                    <xdr:col>9</xdr:col>
                    <xdr:colOff>704850</xdr:colOff>
                    <xdr:row>17</xdr:row>
                    <xdr:rowOff>0</xdr:rowOff>
                  </from>
                  <to>
                    <xdr:col>13</xdr:col>
                    <xdr:colOff>352425</xdr:colOff>
                    <xdr:row>20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alculate_environmental">
                <anchor moveWithCells="1" siz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17</xdr:col>
                    <xdr:colOff>676275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Parameters_fuel">
                <anchor moveWithCells="1" sizeWithCells="1">
                  <from>
                    <xdr:col>0</xdr:col>
                    <xdr:colOff>1266825</xdr:colOff>
                    <xdr:row>148</xdr:row>
                    <xdr:rowOff>333375</xdr:rowOff>
                  </from>
                  <to>
                    <xdr:col>4</xdr:col>
                    <xdr:colOff>952500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Parameters_DOC">
                <anchor moveWithCells="1" sizeWithCells="1">
                  <from>
                    <xdr:col>6</xdr:col>
                    <xdr:colOff>0</xdr:colOff>
                    <xdr:row>148</xdr:row>
                    <xdr:rowOff>314325</xdr:rowOff>
                  </from>
                  <to>
                    <xdr:col>9</xdr:col>
                    <xdr:colOff>752475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Parameters_environmental">
                <anchor moveWithCells="1" sizeWithCells="1">
                  <from>
                    <xdr:col>11</xdr:col>
                    <xdr:colOff>0</xdr:colOff>
                    <xdr:row>149</xdr:row>
                    <xdr:rowOff>0</xdr:rowOff>
                  </from>
                  <to>
                    <xdr:col>14</xdr:col>
                    <xdr:colOff>838200</xdr:colOff>
                    <xdr:row>152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7FCD1E-E0A6-44C2-B490-35D3E2031527}">
          <x14:formula1>
            <xm:f>DOC!$H$57:$H$58</xm:f>
          </x14:formula1>
          <xm:sqref>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49"/>
  <sheetViews>
    <sheetView zoomScale="90" zoomScaleNormal="90" workbookViewId="0">
      <selection activeCell="A2" sqref="A2"/>
    </sheetView>
  </sheetViews>
  <sheetFormatPr baseColWidth="10" defaultColWidth="9.140625" defaultRowHeight="15" x14ac:dyDescent="0.25"/>
  <cols>
    <col min="1" max="1" width="31.5703125" bestFit="1" customWidth="1"/>
    <col min="2" max="2" width="14.7109375" customWidth="1"/>
    <col min="6" max="6" width="9" style="1"/>
    <col min="7" max="7" width="29.5703125" bestFit="1" customWidth="1"/>
    <col min="8" max="8" width="14.140625" bestFit="1" customWidth="1"/>
    <col min="9" max="9" width="8" bestFit="1" customWidth="1"/>
    <col min="11" max="11" width="22.85546875" bestFit="1" customWidth="1"/>
    <col min="12" max="12" width="14.7109375" bestFit="1" customWidth="1"/>
    <col min="13" max="13" width="11.5703125" bestFit="1" customWidth="1"/>
  </cols>
  <sheetData>
    <row r="1" spans="1:12" x14ac:dyDescent="0.25">
      <c r="A1" s="101" t="s">
        <v>69</v>
      </c>
      <c r="B1" s="101"/>
      <c r="C1" s="101"/>
      <c r="D1" s="101"/>
      <c r="E1" s="101"/>
      <c r="G1" s="102" t="s">
        <v>34</v>
      </c>
      <c r="H1" s="102"/>
      <c r="I1" s="102"/>
      <c r="J1" s="102"/>
      <c r="K1" s="102"/>
      <c r="L1" s="2" t="s">
        <v>414</v>
      </c>
    </row>
    <row r="3" spans="1:12" x14ac:dyDescent="0.25">
      <c r="A3" s="55" t="s">
        <v>243</v>
      </c>
      <c r="B3" s="55" t="s">
        <v>244</v>
      </c>
      <c r="C3" s="55" t="s">
        <v>245</v>
      </c>
      <c r="D3" s="55" t="s">
        <v>246</v>
      </c>
      <c r="E3" s="55" t="s">
        <v>247</v>
      </c>
      <c r="G3" s="55" t="s">
        <v>243</v>
      </c>
      <c r="H3" s="55" t="s">
        <v>244</v>
      </c>
      <c r="I3" s="55" t="s">
        <v>245</v>
      </c>
      <c r="J3" s="55" t="s">
        <v>246</v>
      </c>
      <c r="K3" s="55" t="s">
        <v>247</v>
      </c>
      <c r="L3" s="2"/>
    </row>
    <row r="4" spans="1:12" x14ac:dyDescent="0.25">
      <c r="A4" s="100" t="s">
        <v>70</v>
      </c>
      <c r="B4" s="100"/>
      <c r="C4" s="100"/>
      <c r="D4" s="100"/>
      <c r="E4" s="100"/>
      <c r="G4" s="100" t="s">
        <v>0</v>
      </c>
      <c r="H4" s="100"/>
      <c r="I4" s="100"/>
      <c r="J4" s="100"/>
      <c r="K4" s="100"/>
    </row>
    <row r="5" spans="1:12" x14ac:dyDescent="0.25">
      <c r="A5" t="s">
        <v>355</v>
      </c>
      <c r="B5" t="s">
        <v>72</v>
      </c>
      <c r="C5" s="14">
        <f>1-2*(0.116)^2</f>
        <v>0.97308799999999995</v>
      </c>
      <c r="E5" s="40" t="s">
        <v>460</v>
      </c>
      <c r="G5" t="s">
        <v>242</v>
      </c>
      <c r="H5" t="s">
        <v>10</v>
      </c>
      <c r="I5" s="7">
        <f>BPR</f>
        <v>5.7</v>
      </c>
      <c r="K5" s="40" t="s">
        <v>211</v>
      </c>
    </row>
    <row r="6" spans="1:12" x14ac:dyDescent="0.25">
      <c r="A6" t="s">
        <v>356</v>
      </c>
      <c r="B6" t="s">
        <v>73</v>
      </c>
      <c r="C6" s="14">
        <v>0.873</v>
      </c>
      <c r="E6" s="40" t="s">
        <v>460</v>
      </c>
      <c r="G6" t="s">
        <v>241</v>
      </c>
      <c r="H6" t="s">
        <v>32</v>
      </c>
      <c r="I6" s="7">
        <f>T_to/1000</f>
        <v>120</v>
      </c>
      <c r="J6" t="s">
        <v>33</v>
      </c>
      <c r="K6" s="40" t="s">
        <v>210</v>
      </c>
    </row>
    <row r="7" spans="1:12" x14ac:dyDescent="0.25">
      <c r="A7" t="s">
        <v>421</v>
      </c>
      <c r="B7" t="s">
        <v>216</v>
      </c>
      <c r="C7" s="14">
        <f>-1/((M+0.08)/0.3-1)^10.8206</f>
        <v>-1.4272245516441681E-4</v>
      </c>
      <c r="G7" t="s">
        <v>249</v>
      </c>
      <c r="H7" t="s">
        <v>12</v>
      </c>
      <c r="I7" s="8">
        <f>OAPR</f>
        <v>32.6</v>
      </c>
      <c r="K7" s="40" t="s">
        <v>391</v>
      </c>
      <c r="L7" s="39" t="s">
        <v>393</v>
      </c>
    </row>
    <row r="8" spans="1:12" x14ac:dyDescent="0.25">
      <c r="A8" t="s">
        <v>357</v>
      </c>
      <c r="B8" t="s">
        <v>74</v>
      </c>
      <c r="C8" s="14">
        <f>(C7*((M/0.3)-1)^10.8206)+1</f>
        <v>0.74188248277558144</v>
      </c>
      <c r="G8" t="s">
        <v>250</v>
      </c>
      <c r="H8" t="s">
        <v>36</v>
      </c>
      <c r="I8" s="4">
        <f>-8000/T_to+1520</f>
        <v>1519.9333333333334</v>
      </c>
      <c r="J8" t="s">
        <v>27</v>
      </c>
      <c r="K8" s="40" t="s">
        <v>394</v>
      </c>
    </row>
    <row r="9" spans="1:12" x14ac:dyDescent="0.25">
      <c r="C9" s="14"/>
      <c r="G9" t="s">
        <v>395</v>
      </c>
      <c r="H9" s="5" t="s">
        <v>38</v>
      </c>
      <c r="I9" s="6">
        <v>0.02</v>
      </c>
      <c r="K9" s="40" t="s">
        <v>392</v>
      </c>
    </row>
    <row r="10" spans="1:12" x14ac:dyDescent="0.25">
      <c r="B10" t="s">
        <v>76</v>
      </c>
      <c r="C10" s="14">
        <f>0.45*EXP(-0.0375*phi)</f>
        <v>0.17622253200455956</v>
      </c>
    </row>
    <row r="11" spans="1:12" x14ac:dyDescent="0.25">
      <c r="B11" t="s">
        <v>77</v>
      </c>
      <c r="C11" s="14">
        <f>-0.357+0.45*EXP(-0.0375*phi)</f>
        <v>-0.18077746799544042</v>
      </c>
      <c r="G11" s="100" t="s">
        <v>39</v>
      </c>
      <c r="H11" s="100"/>
      <c r="I11" s="100"/>
      <c r="J11" s="100"/>
      <c r="K11" s="100"/>
    </row>
    <row r="12" spans="1:12" x14ac:dyDescent="0.25">
      <c r="B12" t="s">
        <v>78</v>
      </c>
      <c r="C12" s="14">
        <f>0.524*(C10-C11)^4-0.15*(C10-C11)^3+0.1659*(C10-C11)^2-0.0706*(C10-C11)+0.0119</f>
        <v>9.5261568929239995E-3</v>
      </c>
      <c r="G12" t="s">
        <v>251</v>
      </c>
      <c r="H12" t="s">
        <v>21</v>
      </c>
      <c r="I12" s="8">
        <f>T</f>
        <v>216.65</v>
      </c>
      <c r="J12" t="s">
        <v>27</v>
      </c>
    </row>
    <row r="13" spans="1:12" x14ac:dyDescent="0.25">
      <c r="A13" t="s">
        <v>354</v>
      </c>
      <c r="B13" t="s">
        <v>75</v>
      </c>
      <c r="C13" s="14">
        <f>1/(1+C12*A)</f>
        <v>0.91701181498865436</v>
      </c>
      <c r="G13" t="s">
        <v>396</v>
      </c>
      <c r="H13" t="s">
        <v>42</v>
      </c>
      <c r="I13" s="9">
        <f>L</f>
        <v>6.4999999999999997E-3</v>
      </c>
      <c r="J13" t="s">
        <v>43</v>
      </c>
    </row>
    <row r="14" spans="1:12" x14ac:dyDescent="0.25">
      <c r="G14" t="s">
        <v>397</v>
      </c>
      <c r="H14" s="5" t="s">
        <v>44</v>
      </c>
      <c r="I14" s="4">
        <f>I8/I12</f>
        <v>7.0156165858912223</v>
      </c>
    </row>
    <row r="15" spans="1:12" x14ac:dyDescent="0.25">
      <c r="A15" t="s">
        <v>70</v>
      </c>
      <c r="B15" t="s">
        <v>71</v>
      </c>
      <c r="C15" s="81">
        <f>C5*C6*C8*C13</f>
        <v>0.57793155638612903</v>
      </c>
      <c r="G15" t="s">
        <v>398</v>
      </c>
      <c r="H15" s="5" t="s">
        <v>45</v>
      </c>
      <c r="I15" s="4">
        <v>1.4</v>
      </c>
      <c r="K15" s="40" t="s">
        <v>443</v>
      </c>
    </row>
    <row r="16" spans="1:12" x14ac:dyDescent="0.25">
      <c r="G16" t="s">
        <v>401</v>
      </c>
      <c r="H16" s="5" t="s">
        <v>46</v>
      </c>
      <c r="I16" s="4">
        <f>1+(I15-1)/2*I20^2</f>
        <v>1.1619999999999999</v>
      </c>
    </row>
    <row r="17" spans="1:22" x14ac:dyDescent="0.25">
      <c r="A17" s="100" t="s">
        <v>79</v>
      </c>
      <c r="B17" s="100"/>
      <c r="C17" s="100"/>
      <c r="D17" s="100"/>
      <c r="E17" s="100"/>
      <c r="G17" t="s">
        <v>399</v>
      </c>
      <c r="H17" s="5" t="s">
        <v>47</v>
      </c>
      <c r="I17" s="4">
        <f>I16*(I7^((I15-1)/I15)-1)</f>
        <v>1.9825174838025565</v>
      </c>
    </row>
    <row r="18" spans="1:22" x14ac:dyDescent="0.25">
      <c r="B18" t="s">
        <v>80</v>
      </c>
      <c r="C18">
        <v>1.271E-3</v>
      </c>
      <c r="E18" s="40" t="s">
        <v>460</v>
      </c>
    </row>
    <row r="19" spans="1:22" x14ac:dyDescent="0.25">
      <c r="B19" t="s">
        <v>81</v>
      </c>
      <c r="C19">
        <v>3.4769999999999999</v>
      </c>
      <c r="E19" s="40" t="s">
        <v>460</v>
      </c>
      <c r="G19" s="100" t="s">
        <v>48</v>
      </c>
      <c r="H19" s="100"/>
      <c r="I19" s="100"/>
      <c r="J19" s="100"/>
      <c r="K19" s="100"/>
      <c r="L19" s="25"/>
    </row>
    <row r="20" spans="1:22" x14ac:dyDescent="0.25">
      <c r="A20" t="s">
        <v>348</v>
      </c>
      <c r="B20" t="s">
        <v>82</v>
      </c>
      <c r="C20">
        <f>M_opt</f>
        <v>0.78</v>
      </c>
      <c r="G20" t="s">
        <v>174</v>
      </c>
      <c r="H20" t="s">
        <v>17</v>
      </c>
      <c r="I20" s="7">
        <f>M</f>
        <v>0.9</v>
      </c>
      <c r="M20" s="32"/>
      <c r="N20" s="32"/>
      <c r="O20" s="32"/>
      <c r="P20" s="32"/>
      <c r="Q20" s="32"/>
      <c r="R20" s="32"/>
      <c r="S20" s="32"/>
      <c r="T20" s="32"/>
      <c r="U20" s="32"/>
      <c r="V20" s="32"/>
    </row>
    <row r="21" spans="1:22" x14ac:dyDescent="0.25">
      <c r="A21" t="s">
        <v>349</v>
      </c>
      <c r="B21" t="s">
        <v>83</v>
      </c>
      <c r="C21" s="4">
        <f>C19*C20/((ATAN(0.002/(C18*(COS(phi_rad))^3)))+C19)</f>
        <v>0.58882194565374235</v>
      </c>
      <c r="G21" t="s">
        <v>252</v>
      </c>
      <c r="H21" t="s">
        <v>18</v>
      </c>
      <c r="I21" s="7">
        <f>H</f>
        <v>12500</v>
      </c>
      <c r="J21" t="s">
        <v>24</v>
      </c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t="s">
        <v>420</v>
      </c>
      <c r="B22" t="s">
        <v>418</v>
      </c>
      <c r="C22" s="4">
        <f>(1+PI()/(2*C19))*C21</f>
        <v>0.85483268749128127</v>
      </c>
      <c r="L22" s="3"/>
      <c r="M22" s="36"/>
      <c r="N22" s="36"/>
      <c r="O22" s="36"/>
      <c r="P22" s="36"/>
      <c r="Q22" s="36"/>
      <c r="R22" s="36"/>
      <c r="S22" s="36"/>
      <c r="T22" s="36"/>
      <c r="U22" s="36"/>
    </row>
    <row r="23" spans="1:22" x14ac:dyDescent="0.25">
      <c r="A23" t="s">
        <v>217</v>
      </c>
      <c r="B23" t="s">
        <v>458</v>
      </c>
      <c r="C23" s="23" t="str">
        <f>IF(M&lt;C22,IF(C18*TAN(C19*(M/C21)-C19)*(COS(phi_rad))^3&gt;0,C18*TAN(C19*(M/C21)-C19)*(COS(phi_rad))^3,0),"")</f>
        <v/>
      </c>
      <c r="D23" s="2"/>
      <c r="G23" s="100" t="s">
        <v>49</v>
      </c>
      <c r="H23" s="100"/>
      <c r="I23" s="100"/>
      <c r="J23" s="100"/>
      <c r="K23" s="100"/>
      <c r="L23" s="3"/>
      <c r="M23" s="36"/>
      <c r="N23" s="36"/>
      <c r="O23" s="36"/>
      <c r="P23" s="36"/>
      <c r="Q23" s="36"/>
      <c r="R23" s="36"/>
      <c r="S23" s="36"/>
      <c r="T23" s="36"/>
      <c r="U23" s="36"/>
    </row>
    <row r="24" spans="1:22" x14ac:dyDescent="0.25">
      <c r="G24" t="s">
        <v>253</v>
      </c>
      <c r="H24" s="5" t="s">
        <v>50</v>
      </c>
      <c r="I24" s="4">
        <f>1-(1.3+0.25*I5)*I9</f>
        <v>0.94550000000000001</v>
      </c>
      <c r="L24" s="3"/>
      <c r="M24" s="36"/>
      <c r="N24" s="36"/>
      <c r="O24" s="36"/>
      <c r="P24" s="36"/>
      <c r="Q24" s="36"/>
      <c r="R24" s="36"/>
      <c r="S24" s="36"/>
      <c r="T24" s="36"/>
      <c r="U24" s="36"/>
    </row>
    <row r="25" spans="1:22" x14ac:dyDescent="0.25">
      <c r="A25" s="100" t="s">
        <v>85</v>
      </c>
      <c r="B25" s="100"/>
      <c r="C25" s="100"/>
      <c r="D25" s="100"/>
      <c r="E25" s="100"/>
      <c r="G25" t="s">
        <v>254</v>
      </c>
      <c r="H25" t="s">
        <v>51</v>
      </c>
      <c r="I25" s="4">
        <f>-5.978/(5.978+I6)-I20*0.1479-0.133498/(0.133498+I5)+1.05489</f>
        <v>0.85144254473281655</v>
      </c>
      <c r="L25" s="3"/>
      <c r="M25" s="36"/>
      <c r="N25" s="36"/>
      <c r="O25" s="36"/>
      <c r="P25" s="36"/>
      <c r="Q25" s="36"/>
      <c r="R25" s="36"/>
      <c r="S25" s="36"/>
      <c r="T25" s="36"/>
      <c r="U25" s="36"/>
    </row>
    <row r="26" spans="1:22" x14ac:dyDescent="0.25">
      <c r="A26" t="s">
        <v>461</v>
      </c>
      <c r="B26" t="s">
        <v>86</v>
      </c>
      <c r="C26" s="72">
        <v>15.8</v>
      </c>
      <c r="D26" s="2"/>
      <c r="E26" s="40" t="s">
        <v>460</v>
      </c>
      <c r="G26" t="s">
        <v>255</v>
      </c>
      <c r="H26" t="s">
        <v>52</v>
      </c>
      <c r="I26" s="4">
        <f>-2/(2+I6)-0.1171127/(0.1171127+I5)-I20*0.0541+0.9407245</f>
        <v>0.85550861263345668</v>
      </c>
      <c r="L26" s="3"/>
      <c r="M26" s="36"/>
      <c r="N26" s="36"/>
      <c r="O26" s="36"/>
      <c r="P26" s="36"/>
      <c r="Q26" s="36"/>
      <c r="R26" s="36"/>
      <c r="S26" s="36"/>
      <c r="T26" s="36"/>
      <c r="U26" s="36"/>
    </row>
    <row r="27" spans="1:22" x14ac:dyDescent="0.25">
      <c r="A27" t="s">
        <v>350</v>
      </c>
      <c r="B27" t="s">
        <v>87</v>
      </c>
      <c r="C27" s="4">
        <f>C26*SQRT(A/6.2)</f>
        <v>19.557937090240539</v>
      </c>
      <c r="G27" t="s">
        <v>256</v>
      </c>
      <c r="H27" t="s">
        <v>53</v>
      </c>
      <c r="I27" s="4">
        <f>-3.403/(3.403+I6)+1.04826-I20*0.15533</f>
        <v>0.88088668499955425</v>
      </c>
      <c r="L27" s="3"/>
      <c r="M27" s="36"/>
      <c r="N27" s="36"/>
      <c r="O27" s="36"/>
      <c r="P27" s="36"/>
      <c r="Q27" s="36"/>
      <c r="R27" s="36"/>
      <c r="S27" s="36"/>
      <c r="T27" s="36"/>
      <c r="U27" s="36"/>
    </row>
    <row r="28" spans="1:22" x14ac:dyDescent="0.25">
      <c r="A28" t="s">
        <v>351</v>
      </c>
      <c r="B28" t="s">
        <v>88</v>
      </c>
      <c r="C28" s="82">
        <f>(PI()*A*e)/(4*C27^2)</f>
        <v>1.1273111577958602E-2</v>
      </c>
      <c r="G28" t="s">
        <v>257</v>
      </c>
      <c r="H28" t="s">
        <v>54</v>
      </c>
      <c r="I28" s="4">
        <f>-2.0319/(2.0319+I6)+1.00764-I20*0.009868</f>
        <v>0.98210823568034267</v>
      </c>
      <c r="L28" s="3"/>
      <c r="M28" s="36"/>
      <c r="N28" s="36"/>
      <c r="O28" s="36"/>
      <c r="P28" s="36"/>
      <c r="Q28" s="36"/>
      <c r="R28" s="36"/>
      <c r="S28" s="36"/>
      <c r="T28" s="36"/>
      <c r="U28" s="36"/>
    </row>
    <row r="29" spans="1:22" x14ac:dyDescent="0.25">
      <c r="A29" t="s">
        <v>219</v>
      </c>
      <c r="B29" t="s">
        <v>212</v>
      </c>
      <c r="C29" s="28">
        <f>MTOW*g/(0.5*rho*(M*a_sound)^2*SS)</f>
        <v>0.58135534282882717</v>
      </c>
      <c r="I29" s="4"/>
      <c r="L29" s="3"/>
      <c r="M29" s="36"/>
      <c r="N29" s="36"/>
      <c r="O29" s="36"/>
      <c r="P29" s="36"/>
      <c r="Q29" s="36"/>
      <c r="R29" s="36"/>
      <c r="S29" s="36"/>
      <c r="T29" s="36"/>
      <c r="U29" s="36"/>
    </row>
    <row r="30" spans="1:22" x14ac:dyDescent="0.25">
      <c r="A30" t="s">
        <v>218</v>
      </c>
      <c r="B30" t="s">
        <v>352</v>
      </c>
      <c r="C30" s="82">
        <f>CL^2/(A*e*PI())</f>
        <v>1.9594466782201239E-2</v>
      </c>
      <c r="G30" t="s">
        <v>258</v>
      </c>
      <c r="H30" t="s">
        <v>55</v>
      </c>
      <c r="I30" s="4">
        <f>1-(0.7*I20^2*(1-I24))/(1+0.2*I20^2)</f>
        <v>0.97340662650602405</v>
      </c>
      <c r="L30" s="3"/>
      <c r="M30" s="36"/>
      <c r="N30" s="36"/>
      <c r="O30" s="36"/>
      <c r="P30" s="36"/>
      <c r="Q30" s="36"/>
      <c r="R30" s="36"/>
      <c r="S30" s="36"/>
      <c r="T30" s="36"/>
      <c r="U30" s="36"/>
    </row>
    <row r="31" spans="1:22" x14ac:dyDescent="0.25">
      <c r="A31" t="s">
        <v>214</v>
      </c>
      <c r="B31" t="s">
        <v>90</v>
      </c>
      <c r="C31" s="28" t="e">
        <f>Cd0+c_dw+CL^2/(PI()*e*A)</f>
        <v>#VALUE!</v>
      </c>
      <c r="G31" t="s">
        <v>400</v>
      </c>
      <c r="H31" t="s">
        <v>56</v>
      </c>
      <c r="I31" s="4">
        <f>(I14-I17/I26)*(1-1.01/(I30^((I15-1)/I15)*(I17+I16)*(1-I17/I14/I26/I27)))</f>
        <v>2.2651930432340817</v>
      </c>
      <c r="L31" s="3"/>
      <c r="M31" s="36"/>
      <c r="N31" s="36"/>
      <c r="O31" s="36"/>
      <c r="P31" s="36"/>
      <c r="Q31" s="36"/>
      <c r="R31" s="36"/>
      <c r="S31" s="36"/>
      <c r="T31" s="36"/>
      <c r="U31" s="36"/>
    </row>
    <row r="32" spans="1:22" x14ac:dyDescent="0.25">
      <c r="L32" s="3"/>
      <c r="M32" s="36"/>
      <c r="N32" s="36"/>
      <c r="O32" s="36"/>
      <c r="P32" s="36"/>
      <c r="Q32" s="36"/>
      <c r="R32" s="36"/>
      <c r="S32" s="36"/>
      <c r="T32" s="36"/>
      <c r="U32" s="36"/>
    </row>
    <row r="33" spans="1:21" x14ac:dyDescent="0.25">
      <c r="A33" t="s">
        <v>353</v>
      </c>
      <c r="B33" t="s">
        <v>89</v>
      </c>
      <c r="C33" s="41" t="e">
        <f>CL/Cd</f>
        <v>#VALUE!</v>
      </c>
      <c r="E33">
        <v>17.630609255553818</v>
      </c>
      <c r="G33" s="100" t="s">
        <v>248</v>
      </c>
      <c r="H33" s="100"/>
      <c r="I33" s="100"/>
      <c r="J33" s="100"/>
      <c r="K33" s="100"/>
      <c r="L33" s="3"/>
      <c r="M33" s="36"/>
      <c r="N33" s="36"/>
      <c r="O33" s="36"/>
      <c r="P33" s="36"/>
      <c r="Q33" s="36"/>
      <c r="R33" s="36"/>
      <c r="S33" s="36"/>
      <c r="T33" s="36"/>
      <c r="U33" s="36"/>
    </row>
    <row r="34" spans="1:21" x14ac:dyDescent="0.25">
      <c r="E34">
        <v>16.672150415434757</v>
      </c>
      <c r="G34" t="s">
        <v>259</v>
      </c>
      <c r="H34" t="s">
        <v>34</v>
      </c>
      <c r="I34" s="4">
        <f>(0.697*SQRT(I12/288.15)*(I14-I16-I17/I26))/(SQRT(5*I28*(1+I25*I27*I5)*(I31+0.2*I20^2*I5*I26/I25/I27))-I20*(1+I5))</f>
        <v>0.65932743841755803</v>
      </c>
      <c r="J34" t="s">
        <v>35</v>
      </c>
      <c r="L34" s="3"/>
      <c r="M34" s="36"/>
      <c r="N34" s="36"/>
      <c r="O34" s="36"/>
      <c r="P34" s="36"/>
      <c r="Q34" s="36"/>
      <c r="R34" s="36"/>
      <c r="S34" s="36"/>
      <c r="T34" s="36"/>
      <c r="U34" s="36"/>
    </row>
    <row r="35" spans="1:21" x14ac:dyDescent="0.25">
      <c r="E35" s="77">
        <f>(E33-E34)/E33</f>
        <v>5.4363341971131074E-2</v>
      </c>
      <c r="H35" s="3" t="s">
        <v>34</v>
      </c>
      <c r="I35" s="94">
        <f>I34/3600/10</f>
        <v>1.831465106715439E-5</v>
      </c>
      <c r="J35" t="s">
        <v>37</v>
      </c>
      <c r="L35" s="3"/>
      <c r="M35" s="36"/>
      <c r="N35" s="77"/>
      <c r="O35" s="36"/>
      <c r="P35" s="36"/>
      <c r="Q35" s="36"/>
      <c r="R35" s="36"/>
      <c r="S35" s="36"/>
      <c r="T35" s="36"/>
      <c r="U35" s="36"/>
    </row>
    <row r="36" spans="1:21" x14ac:dyDescent="0.25">
      <c r="L36" s="3"/>
      <c r="M36" s="36"/>
      <c r="N36" s="36"/>
      <c r="O36" s="36"/>
      <c r="P36" s="36"/>
      <c r="Q36" s="36"/>
      <c r="R36" s="36"/>
      <c r="S36" s="36"/>
      <c r="T36" s="36"/>
      <c r="U36" s="36"/>
    </row>
    <row r="37" spans="1:21" x14ac:dyDescent="0.25">
      <c r="C37" s="19"/>
      <c r="G37" s="100" t="s">
        <v>40</v>
      </c>
      <c r="H37" s="100"/>
      <c r="I37" s="100"/>
      <c r="J37" s="100"/>
      <c r="K37" s="100"/>
      <c r="L37" s="3"/>
      <c r="M37" s="36"/>
      <c r="N37" s="36"/>
      <c r="O37" s="36"/>
      <c r="P37" s="36"/>
      <c r="Q37" s="36"/>
      <c r="R37" s="36"/>
      <c r="S37" s="36"/>
      <c r="T37" s="36"/>
      <c r="U37" s="36"/>
    </row>
    <row r="38" spans="1:21" x14ac:dyDescent="0.25">
      <c r="A38" t="s">
        <v>457</v>
      </c>
      <c r="B38" t="s">
        <v>351</v>
      </c>
      <c r="C38" s="76" t="e">
        <f>Cd0/Cd</f>
        <v>#VALUE!</v>
      </c>
      <c r="G38" t="s">
        <v>40</v>
      </c>
      <c r="I38" s="95" t="e">
        <f>1000*TSFC*g/(M*a_sound*E_glide)</f>
        <v>#VALUE!</v>
      </c>
      <c r="J38" t="s">
        <v>41</v>
      </c>
      <c r="M38" s="36"/>
      <c r="N38" s="36"/>
      <c r="O38" s="36"/>
      <c r="P38" s="36"/>
      <c r="Q38" s="36"/>
      <c r="R38" s="36"/>
      <c r="S38" s="36"/>
      <c r="T38" s="36"/>
      <c r="U38" s="36"/>
    </row>
    <row r="39" spans="1:21" x14ac:dyDescent="0.25">
      <c r="B39" t="s">
        <v>79</v>
      </c>
      <c r="C39" s="77" t="e">
        <f>c_dw/Cd</f>
        <v>#VALUE!</v>
      </c>
      <c r="I39" s="94" t="e">
        <f>fuel_mile/MTOW</f>
        <v>#VALUE!</v>
      </c>
      <c r="J39" t="s">
        <v>408</v>
      </c>
    </row>
    <row r="40" spans="1:21" x14ac:dyDescent="0.25">
      <c r="B40" t="s">
        <v>218</v>
      </c>
      <c r="C40" s="77" t="e">
        <f>C30/Cd</f>
        <v>#VALUE!</v>
      </c>
    </row>
    <row r="41" spans="1:21" x14ac:dyDescent="0.25">
      <c r="I41" s="46" t="e">
        <f>1000*TSFC*g*MTOW/(M*a_sound*E_glide)</f>
        <v>#VALUE!</v>
      </c>
      <c r="J41" t="s">
        <v>180</v>
      </c>
      <c r="M41" s="77"/>
    </row>
    <row r="42" spans="1:21" x14ac:dyDescent="0.25">
      <c r="I42" s="46" t="e">
        <f>fuel_km/0.5399</f>
        <v>#VALUE!</v>
      </c>
      <c r="J42" t="s">
        <v>409</v>
      </c>
    </row>
    <row r="43" spans="1:21" x14ac:dyDescent="0.25">
      <c r="D43" s="2"/>
    </row>
    <row r="44" spans="1:21" x14ac:dyDescent="0.25">
      <c r="I44" s="46" t="e">
        <f>fuel_km*100/n_PAX</f>
        <v>#VALUE!</v>
      </c>
      <c r="J44" t="s">
        <v>459</v>
      </c>
    </row>
    <row r="49" spans="9:9" x14ac:dyDescent="0.25">
      <c r="I49" s="77"/>
    </row>
  </sheetData>
  <mergeCells count="11">
    <mergeCell ref="G33:K33"/>
    <mergeCell ref="G37:K37"/>
    <mergeCell ref="A1:E1"/>
    <mergeCell ref="A4:E4"/>
    <mergeCell ref="A17:E17"/>
    <mergeCell ref="A25:E25"/>
    <mergeCell ref="G1:K1"/>
    <mergeCell ref="G11:K11"/>
    <mergeCell ref="G19:K19"/>
    <mergeCell ref="G23:K23"/>
    <mergeCell ref="G4:K4"/>
  </mergeCells>
  <conditionalFormatting sqref="M38:V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8:U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2:V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U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275"/>
  <sheetViews>
    <sheetView zoomScale="90" zoomScaleNormal="90" workbookViewId="0">
      <selection activeCell="A2" sqref="A2"/>
    </sheetView>
  </sheetViews>
  <sheetFormatPr baseColWidth="10" defaultColWidth="9.140625" defaultRowHeight="15" x14ac:dyDescent="0.25"/>
  <cols>
    <col min="1" max="1" width="27.85546875" customWidth="1"/>
    <col min="2" max="2" width="18.42578125" bestFit="1" customWidth="1"/>
    <col min="3" max="3" width="18.5703125" bestFit="1" customWidth="1"/>
    <col min="4" max="4" width="33.5703125" bestFit="1" customWidth="1"/>
    <col min="5" max="5" width="15" customWidth="1"/>
    <col min="6" max="6" width="15.28515625" customWidth="1"/>
    <col min="9" max="9" width="9.7109375" customWidth="1"/>
    <col min="10" max="10" width="11.7109375" customWidth="1"/>
    <col min="11" max="11" width="10.5703125" customWidth="1"/>
    <col min="12" max="12" width="11.28515625" customWidth="1"/>
    <col min="13" max="13" width="11.85546875" customWidth="1"/>
    <col min="14" max="14" width="10.85546875" customWidth="1"/>
  </cols>
  <sheetData>
    <row r="1" spans="1:17" x14ac:dyDescent="0.25">
      <c r="A1" s="47" t="s">
        <v>267</v>
      </c>
      <c r="B1" s="48" t="s">
        <v>91</v>
      </c>
      <c r="C1" s="27" t="s">
        <v>268</v>
      </c>
      <c r="D1" s="27"/>
    </row>
    <row r="2" spans="1:17" x14ac:dyDescent="0.25">
      <c r="A2" s="19"/>
      <c r="B2" s="31"/>
      <c r="C2" s="21"/>
      <c r="D2" s="19"/>
      <c r="F2" s="40" t="s">
        <v>485</v>
      </c>
      <c r="H2" s="2"/>
    </row>
    <row r="3" spans="1:17" x14ac:dyDescent="0.25">
      <c r="A3" s="53" t="s">
        <v>269</v>
      </c>
      <c r="B3" s="27"/>
      <c r="C3" s="48"/>
      <c r="D3" s="27"/>
      <c r="F3" t="s">
        <v>338</v>
      </c>
      <c r="G3" t="s">
        <v>339</v>
      </c>
      <c r="H3" t="s">
        <v>223</v>
      </c>
      <c r="I3" t="s">
        <v>224</v>
      </c>
      <c r="J3" t="s">
        <v>232</v>
      </c>
      <c r="K3" t="s">
        <v>233</v>
      </c>
      <c r="L3" t="s">
        <v>234</v>
      </c>
      <c r="M3" t="s">
        <v>335</v>
      </c>
      <c r="N3" t="s">
        <v>336</v>
      </c>
      <c r="O3" t="s">
        <v>337</v>
      </c>
      <c r="P3" t="s">
        <v>342</v>
      </c>
      <c r="Q3" t="s">
        <v>343</v>
      </c>
    </row>
    <row r="4" spans="1:17" s="19" customFormat="1" x14ac:dyDescent="0.25">
      <c r="A4" s="27"/>
      <c r="B4" s="27"/>
      <c r="C4" s="27"/>
      <c r="D4" s="27"/>
      <c r="F4" s="19" t="s">
        <v>275</v>
      </c>
      <c r="G4" s="19">
        <v>500</v>
      </c>
      <c r="H4" s="19">
        <v>14</v>
      </c>
      <c r="I4" s="19">
        <v>5.2900000000000003E-2</v>
      </c>
      <c r="J4" s="19">
        <v>0.25</v>
      </c>
      <c r="K4" s="19">
        <v>246.5</v>
      </c>
      <c r="L4" s="19">
        <v>81</v>
      </c>
      <c r="M4" s="19">
        <v>7.7999999999999996E-3</v>
      </c>
      <c r="N4" s="19">
        <v>4.1399999999999996E-3</v>
      </c>
      <c r="O4" s="19">
        <v>0.1</v>
      </c>
      <c r="P4" s="19">
        <v>3750</v>
      </c>
      <c r="Q4" s="19">
        <v>0.75</v>
      </c>
    </row>
    <row r="5" spans="1:17" x14ac:dyDescent="0.25">
      <c r="A5" s="27" t="s">
        <v>271</v>
      </c>
      <c r="B5" s="27"/>
      <c r="C5" s="52">
        <v>2019</v>
      </c>
      <c r="D5" s="27"/>
      <c r="F5" t="s">
        <v>274</v>
      </c>
      <c r="G5">
        <v>300</v>
      </c>
      <c r="H5">
        <v>16</v>
      </c>
      <c r="I5">
        <v>5.3400000000000003E-2</v>
      </c>
      <c r="J5">
        <v>0.42</v>
      </c>
      <c r="K5">
        <v>355</v>
      </c>
      <c r="L5">
        <v>90</v>
      </c>
      <c r="M5">
        <v>5.8999999999999999E-3</v>
      </c>
      <c r="N5">
        <v>1.66E-3</v>
      </c>
      <c r="O5">
        <v>0.11</v>
      </c>
      <c r="P5">
        <v>4800</v>
      </c>
      <c r="Q5">
        <v>0.42</v>
      </c>
    </row>
    <row r="6" spans="1:17" x14ac:dyDescent="0.25">
      <c r="A6" s="27" t="s">
        <v>273</v>
      </c>
      <c r="B6" s="27"/>
      <c r="C6" s="74" t="s">
        <v>275</v>
      </c>
      <c r="D6" s="27"/>
    </row>
    <row r="7" spans="1:17" x14ac:dyDescent="0.25">
      <c r="A7" s="27" t="s">
        <v>276</v>
      </c>
      <c r="B7" s="27"/>
      <c r="C7" s="51">
        <v>1.76</v>
      </c>
      <c r="D7" s="27"/>
      <c r="H7" s="2"/>
    </row>
    <row r="8" spans="1:17" s="19" customFormat="1" x14ac:dyDescent="0.25">
      <c r="A8" s="27" t="s">
        <v>347</v>
      </c>
      <c r="B8" s="27"/>
      <c r="C8" s="27"/>
      <c r="D8" s="27"/>
      <c r="H8" s="54"/>
    </row>
    <row r="9" spans="1:17" x14ac:dyDescent="0.25">
      <c r="A9" s="19"/>
      <c r="B9" s="19"/>
      <c r="C9" s="19"/>
      <c r="D9" s="19"/>
      <c r="I9" s="10"/>
    </row>
    <row r="10" spans="1:17" x14ac:dyDescent="0.25">
      <c r="A10" s="27" t="s">
        <v>272</v>
      </c>
      <c r="B10" s="27" t="s">
        <v>92</v>
      </c>
      <c r="C10" s="49">
        <f>(1+0.025547)^(C5-1989)</f>
        <v>2.131410279024593</v>
      </c>
      <c r="D10" s="79" t="s">
        <v>456</v>
      </c>
      <c r="I10" s="10"/>
    </row>
    <row r="11" spans="1:17" x14ac:dyDescent="0.25">
      <c r="C11" s="4"/>
      <c r="I11" s="10"/>
    </row>
    <row r="12" spans="1:17" x14ac:dyDescent="0.25">
      <c r="A12" s="55" t="s">
        <v>243</v>
      </c>
      <c r="B12" s="55" t="s">
        <v>244</v>
      </c>
      <c r="C12" s="56" t="s">
        <v>245</v>
      </c>
      <c r="D12" s="55" t="s">
        <v>319</v>
      </c>
      <c r="E12" s="55" t="s">
        <v>308</v>
      </c>
    </row>
    <row r="13" spans="1:17" x14ac:dyDescent="0.25">
      <c r="A13" s="100" t="s">
        <v>93</v>
      </c>
      <c r="B13" s="100"/>
      <c r="C13" s="100"/>
      <c r="D13" s="100"/>
      <c r="J13" s="4"/>
    </row>
    <row r="14" spans="1:17" x14ac:dyDescent="0.25">
      <c r="A14" t="s">
        <v>280</v>
      </c>
      <c r="B14" t="s">
        <v>94</v>
      </c>
      <c r="C14" s="10">
        <f>k_inf*VLOOKUP(C6,F4:I5,2,FALSE)*MTOW</f>
        <v>78329327.754153788</v>
      </c>
      <c r="D14" s="40" t="s">
        <v>277</v>
      </c>
      <c r="E14" s="2"/>
      <c r="I14" s="10"/>
    </row>
    <row r="15" spans="1:17" ht="13.9" customHeight="1" x14ac:dyDescent="0.25">
      <c r="A15" t="s">
        <v>280</v>
      </c>
      <c r="B15" t="s">
        <v>94</v>
      </c>
      <c r="C15" s="10">
        <f>k_inf*265000*n_PAX</f>
        <v>84723558.591227576</v>
      </c>
      <c r="D15" s="40" t="s">
        <v>278</v>
      </c>
      <c r="E15" s="40" t="s">
        <v>388</v>
      </c>
      <c r="F15" s="2"/>
      <c r="I15" s="10"/>
    </row>
    <row r="16" spans="1:17" x14ac:dyDescent="0.25">
      <c r="A16" t="s">
        <v>281</v>
      </c>
      <c r="B16" t="s">
        <v>95</v>
      </c>
      <c r="C16" s="10">
        <v>101000000</v>
      </c>
      <c r="D16" s="40" t="s">
        <v>453</v>
      </c>
    </row>
    <row r="17" spans="1:6" x14ac:dyDescent="0.25">
      <c r="A17" t="s">
        <v>282</v>
      </c>
      <c r="B17" t="s">
        <v>96</v>
      </c>
      <c r="C17" s="10">
        <f>C15-n_E*C18</f>
        <v>68479240.646349445</v>
      </c>
      <c r="D17" s="40"/>
    </row>
    <row r="18" spans="1:6" x14ac:dyDescent="0.25">
      <c r="A18" t="s">
        <v>283</v>
      </c>
      <c r="B18" t="s">
        <v>97</v>
      </c>
      <c r="C18" s="21">
        <f>k_inf*293*(T_to)^0.81</f>
        <v>8122158.9724390656</v>
      </c>
      <c r="D18" s="40" t="s">
        <v>279</v>
      </c>
      <c r="E18" t="s">
        <v>309</v>
      </c>
      <c r="F18" s="10"/>
    </row>
    <row r="19" spans="1:6" x14ac:dyDescent="0.25">
      <c r="A19" t="s">
        <v>284</v>
      </c>
      <c r="B19" t="s">
        <v>98</v>
      </c>
      <c r="C19" s="10">
        <f>0.1*C17+2*0.3*C18</f>
        <v>11721219.448098384</v>
      </c>
      <c r="D19" s="40"/>
    </row>
    <row r="20" spans="1:6" x14ac:dyDescent="0.25">
      <c r="A20" t="s">
        <v>285</v>
      </c>
      <c r="B20" t="s">
        <v>99</v>
      </c>
      <c r="C20" s="10">
        <f>C15+C19</f>
        <v>96444778.039325953</v>
      </c>
      <c r="D20" s="40"/>
    </row>
    <row r="21" spans="1:6" x14ac:dyDescent="0.25">
      <c r="A21" t="s">
        <v>286</v>
      </c>
      <c r="B21" t="s">
        <v>100</v>
      </c>
      <c r="C21" s="10">
        <f>0.1*C20</f>
        <v>9644477.803932596</v>
      </c>
      <c r="D21" s="40" t="s">
        <v>287</v>
      </c>
    </row>
    <row r="22" spans="1:6" x14ac:dyDescent="0.25">
      <c r="C22" s="10"/>
    </row>
    <row r="23" spans="1:6" x14ac:dyDescent="0.25">
      <c r="B23" t="s">
        <v>101</v>
      </c>
      <c r="C23" s="80">
        <f>(C20-C21)/VLOOKUP(C6,F4:L5,3,FALSE)</f>
        <v>6200021.44538524</v>
      </c>
    </row>
    <row r="24" spans="1:6" x14ac:dyDescent="0.25">
      <c r="C24" s="10"/>
    </row>
    <row r="25" spans="1:6" x14ac:dyDescent="0.25">
      <c r="A25" s="100" t="s">
        <v>102</v>
      </c>
      <c r="B25" s="100"/>
      <c r="C25" s="100"/>
      <c r="D25" s="100"/>
      <c r="F25" s="13"/>
    </row>
    <row r="26" spans="1:6" x14ac:dyDescent="0.25">
      <c r="A26" t="s">
        <v>288</v>
      </c>
      <c r="B26" t="s">
        <v>224</v>
      </c>
      <c r="C26" s="14">
        <f>VLOOKUP(C6,F4:I5,4,FALSE)</f>
        <v>5.2900000000000003E-2</v>
      </c>
    </row>
    <row r="27" spans="1:6" x14ac:dyDescent="0.25">
      <c r="C27" s="10"/>
    </row>
    <row r="28" spans="1:6" x14ac:dyDescent="0.25">
      <c r="B28" t="s">
        <v>103</v>
      </c>
      <c r="C28" s="80">
        <f>C26*C20</f>
        <v>5101928.7582803434</v>
      </c>
    </row>
    <row r="29" spans="1:6" x14ac:dyDescent="0.25">
      <c r="C29" s="10"/>
    </row>
    <row r="30" spans="1:6" x14ac:dyDescent="0.25">
      <c r="A30" s="100" t="s">
        <v>104</v>
      </c>
      <c r="B30" s="100"/>
      <c r="C30" s="100"/>
      <c r="D30" s="100"/>
    </row>
    <row r="31" spans="1:6" x14ac:dyDescent="0.25">
      <c r="A31" t="s">
        <v>289</v>
      </c>
      <c r="B31" t="s">
        <v>105</v>
      </c>
      <c r="C31" s="15">
        <v>5.0000000000000001E-3</v>
      </c>
    </row>
    <row r="32" spans="1:6" x14ac:dyDescent="0.25">
      <c r="C32" s="10"/>
    </row>
    <row r="33" spans="1:6" x14ac:dyDescent="0.25">
      <c r="B33" t="s">
        <v>106</v>
      </c>
      <c r="C33" s="80">
        <f>C31*C15</f>
        <v>423617.79295613791</v>
      </c>
    </row>
    <row r="34" spans="1:6" x14ac:dyDescent="0.25">
      <c r="C34" s="10"/>
    </row>
    <row r="35" spans="1:6" x14ac:dyDescent="0.25">
      <c r="A35" s="100" t="s">
        <v>107</v>
      </c>
      <c r="B35" s="100"/>
      <c r="C35" s="100"/>
      <c r="D35" s="100"/>
    </row>
    <row r="36" spans="1:6" x14ac:dyDescent="0.25">
      <c r="A36" t="s">
        <v>290</v>
      </c>
      <c r="B36" t="s">
        <v>108</v>
      </c>
      <c r="C36" s="10">
        <f>price_fuel</f>
        <v>1.76</v>
      </c>
      <c r="D36" s="16"/>
      <c r="E36" s="2"/>
    </row>
    <row r="37" spans="1:6" x14ac:dyDescent="0.25">
      <c r="A37" t="s">
        <v>291</v>
      </c>
      <c r="B37" t="s">
        <v>109</v>
      </c>
      <c r="C37" s="10">
        <f>(C36/3.78541)*0.804</f>
        <v>0.37381419714112868</v>
      </c>
    </row>
    <row r="38" spans="1:6" x14ac:dyDescent="0.25">
      <c r="A38" t="s">
        <v>110</v>
      </c>
      <c r="C38" s="10">
        <v>0</v>
      </c>
      <c r="D38" s="40" t="s">
        <v>468</v>
      </c>
    </row>
    <row r="39" spans="1:6" x14ac:dyDescent="0.25">
      <c r="A39" t="s">
        <v>292</v>
      </c>
      <c r="B39" t="s">
        <v>111</v>
      </c>
      <c r="C39" s="10">
        <f>C37+C38</f>
        <v>0.37381419714112868</v>
      </c>
    </row>
    <row r="40" spans="1:6" x14ac:dyDescent="0.25">
      <c r="A40" t="s">
        <v>293</v>
      </c>
      <c r="B40" t="s">
        <v>299</v>
      </c>
      <c r="C40" s="75">
        <f>ROUNDDOWN(Uaf/tf,0)</f>
        <v>1505</v>
      </c>
      <c r="D40" s="40" t="s">
        <v>387</v>
      </c>
      <c r="E40" s="60"/>
    </row>
    <row r="41" spans="1:6" x14ac:dyDescent="0.25">
      <c r="A41" t="s">
        <v>410</v>
      </c>
      <c r="B41" t="s">
        <v>30</v>
      </c>
      <c r="C41" s="75">
        <f>range</f>
        <v>1500</v>
      </c>
      <c r="D41" s="4">
        <f>CONVERT(range*1000,"m","Nmi")</f>
        <v>809.93520518358537</v>
      </c>
      <c r="E41" t="s">
        <v>411</v>
      </c>
    </row>
    <row r="42" spans="1:6" x14ac:dyDescent="0.25">
      <c r="A42" s="39" t="s">
        <v>112</v>
      </c>
      <c r="B42" s="39" t="s">
        <v>469</v>
      </c>
      <c r="C42" s="17" t="e">
        <f>E_glide*M*a_sound/(TSFC*g)/1000</f>
        <v>#VALUE!</v>
      </c>
    </row>
    <row r="43" spans="1:6" x14ac:dyDescent="0.25">
      <c r="A43" s="39" t="s">
        <v>294</v>
      </c>
      <c r="B43" t="s">
        <v>113</v>
      </c>
      <c r="C43" s="4" t="e">
        <f>EXP(-range/C42)*0.997*0.993*0.993*0.993*0.993</f>
        <v>#VALUE!</v>
      </c>
      <c r="D43" s="40" t="s">
        <v>385</v>
      </c>
      <c r="E43" s="2"/>
    </row>
    <row r="44" spans="1:6" x14ac:dyDescent="0.25">
      <c r="A44" s="39" t="s">
        <v>295</v>
      </c>
      <c r="B44" t="s">
        <v>114</v>
      </c>
      <c r="C44" s="4" t="e">
        <f>(1-Mff)*MTOW</f>
        <v>#VALUE!</v>
      </c>
      <c r="D44" t="s">
        <v>16</v>
      </c>
    </row>
    <row r="45" spans="1:6" x14ac:dyDescent="0.25">
      <c r="A45" s="39" t="s">
        <v>296</v>
      </c>
      <c r="B45" t="s">
        <v>115</v>
      </c>
      <c r="C45" s="4" t="e">
        <f>0.05*C44</f>
        <v>#VALUE!</v>
      </c>
      <c r="D45" t="s">
        <v>16</v>
      </c>
      <c r="F45" s="2"/>
    </row>
    <row r="46" spans="1:6" x14ac:dyDescent="0.25">
      <c r="A46" s="39" t="s">
        <v>297</v>
      </c>
      <c r="B46" t="s">
        <v>116</v>
      </c>
      <c r="C46" s="15">
        <f>CONVERT(250,"Nmi","m")/1000</f>
        <v>463</v>
      </c>
      <c r="D46" t="s">
        <v>31</v>
      </c>
      <c r="E46" s="40" t="s">
        <v>412</v>
      </c>
    </row>
    <row r="47" spans="1:6" x14ac:dyDescent="0.25">
      <c r="A47" s="39" t="s">
        <v>298</v>
      </c>
      <c r="B47" t="s">
        <v>117</v>
      </c>
      <c r="C47" s="4" t="e">
        <f>EXP(-C46/C42)</f>
        <v>#VALUE!</v>
      </c>
      <c r="E47" s="40"/>
    </row>
    <row r="48" spans="1:6" x14ac:dyDescent="0.25">
      <c r="A48" s="39" t="s">
        <v>312</v>
      </c>
      <c r="B48" t="s">
        <v>118</v>
      </c>
      <c r="C48" s="18" t="e">
        <f>(1-C47)*MTOW</f>
        <v>#VALUE!</v>
      </c>
      <c r="D48" t="s">
        <v>16</v>
      </c>
      <c r="E48" s="40"/>
      <c r="F48" s="2"/>
    </row>
    <row r="49" spans="1:9" x14ac:dyDescent="0.25">
      <c r="A49" s="39" t="s">
        <v>311</v>
      </c>
      <c r="B49" t="s">
        <v>119</v>
      </c>
      <c r="C49" s="18" t="e">
        <f>(1-EXP(-1800/(C42*1000/(M*a_sound))))*MTOW</f>
        <v>#VALUE!</v>
      </c>
      <c r="D49" t="s">
        <v>16</v>
      </c>
      <c r="E49" s="44" t="s">
        <v>263</v>
      </c>
      <c r="F49" s="2"/>
    </row>
    <row r="50" spans="1:9" x14ac:dyDescent="0.25">
      <c r="A50" s="39" t="s">
        <v>310</v>
      </c>
      <c r="B50" t="s">
        <v>120</v>
      </c>
      <c r="C50" s="4" t="e">
        <f>C44+C45+C48+C49</f>
        <v>#VALUE!</v>
      </c>
      <c r="D50" t="s">
        <v>16</v>
      </c>
      <c r="G50">
        <f>M*a_sound</f>
        <v>265.56260429190701</v>
      </c>
      <c r="H50" t="s">
        <v>26</v>
      </c>
    </row>
    <row r="51" spans="1:9" x14ac:dyDescent="0.25">
      <c r="C51" s="10"/>
      <c r="G51">
        <f>G50*3.6</f>
        <v>956.02537545086523</v>
      </c>
      <c r="H51" t="s">
        <v>490</v>
      </c>
    </row>
    <row r="52" spans="1:9" x14ac:dyDescent="0.25">
      <c r="B52" t="s">
        <v>121</v>
      </c>
      <c r="C52" s="80" t="e">
        <f>C40*C44*C39</f>
        <v>#VALUE!</v>
      </c>
    </row>
    <row r="53" spans="1:9" x14ac:dyDescent="0.25">
      <c r="C53" s="10"/>
    </row>
    <row r="54" spans="1:9" x14ac:dyDescent="0.25">
      <c r="A54" s="100" t="s">
        <v>122</v>
      </c>
      <c r="B54" s="100"/>
      <c r="C54" s="100"/>
      <c r="D54" s="100"/>
    </row>
    <row r="55" spans="1:9" x14ac:dyDescent="0.25">
      <c r="A55" t="s">
        <v>300</v>
      </c>
      <c r="B55" t="s">
        <v>123</v>
      </c>
      <c r="C55" s="9">
        <f>n_E</f>
        <v>2</v>
      </c>
    </row>
    <row r="56" spans="1:9" x14ac:dyDescent="0.25">
      <c r="A56" t="s">
        <v>301</v>
      </c>
      <c r="B56" t="s">
        <v>124</v>
      </c>
      <c r="C56" s="15">
        <f>n_E*m_e*1.15*VLOOKUP(Inputs_Outputs!F9,DOC!H57:I58,2,FALSE)</f>
        <v>6459.32</v>
      </c>
      <c r="D56" t="s">
        <v>16</v>
      </c>
      <c r="E56" s="40" t="s">
        <v>389</v>
      </c>
      <c r="H56" t="s">
        <v>228</v>
      </c>
      <c r="I56" t="s">
        <v>231</v>
      </c>
    </row>
    <row r="57" spans="1:9" x14ac:dyDescent="0.25">
      <c r="A57" t="s">
        <v>313</v>
      </c>
      <c r="B57" t="s">
        <v>125</v>
      </c>
      <c r="C57" s="15">
        <f>OEW-C56</f>
        <v>36140.68</v>
      </c>
      <c r="D57" t="s">
        <v>16</v>
      </c>
      <c r="H57" t="s">
        <v>229</v>
      </c>
      <c r="I57">
        <v>1.18</v>
      </c>
    </row>
    <row r="58" spans="1:9" x14ac:dyDescent="0.25">
      <c r="A58" t="s">
        <v>302</v>
      </c>
      <c r="B58" t="s">
        <v>126</v>
      </c>
      <c r="C58" s="9">
        <f>T_to</f>
        <v>120000</v>
      </c>
      <c r="D58" t="s">
        <v>29</v>
      </c>
      <c r="H58" t="s">
        <v>230</v>
      </c>
      <c r="I58">
        <v>1</v>
      </c>
    </row>
    <row r="59" spans="1:9" x14ac:dyDescent="0.25">
      <c r="A59" t="s">
        <v>303</v>
      </c>
      <c r="B59" t="s">
        <v>127</v>
      </c>
      <c r="C59" s="41">
        <f>((range-range_added)/(M*a_sound*3.6))+tf_added</f>
        <v>1.7412726422869818</v>
      </c>
      <c r="D59" t="s">
        <v>128</v>
      </c>
      <c r="E59" s="44" t="s">
        <v>488</v>
      </c>
    </row>
    <row r="60" spans="1:9" x14ac:dyDescent="0.25">
      <c r="B60" t="s">
        <v>129</v>
      </c>
      <c r="C60" s="4">
        <f>1.27-(0.2*BPR^0.2)</f>
        <v>0.98672714034713482</v>
      </c>
      <c r="D60" s="45" t="s">
        <v>304</v>
      </c>
    </row>
    <row r="61" spans="1:9" x14ac:dyDescent="0.25">
      <c r="B61" t="s">
        <v>130</v>
      </c>
      <c r="C61" s="4">
        <f>0.4*(OAPR/20)^1.3+0.4</f>
        <v>1.154925120641475</v>
      </c>
      <c r="D61" s="45" t="s">
        <v>305</v>
      </c>
    </row>
    <row r="62" spans="1:9" x14ac:dyDescent="0.25">
      <c r="B62" t="s">
        <v>131</v>
      </c>
      <c r="C62" s="4">
        <f>0.032*n_stages+C63</f>
        <v>1.1459999999999999</v>
      </c>
      <c r="D62" s="45" t="s">
        <v>306</v>
      </c>
    </row>
    <row r="63" spans="1:9" x14ac:dyDescent="0.25">
      <c r="B63" t="s">
        <v>132</v>
      </c>
      <c r="C63" s="4">
        <f>VLOOKUP(n_shafts,DOC!H64:I66,2,FALSE)</f>
        <v>0.56999999999999995</v>
      </c>
      <c r="D63" s="45" t="s">
        <v>307</v>
      </c>
      <c r="H63" t="s">
        <v>226</v>
      </c>
      <c r="I63" t="s">
        <v>227</v>
      </c>
    </row>
    <row r="64" spans="1:9" x14ac:dyDescent="0.25">
      <c r="C64" s="10"/>
      <c r="H64">
        <v>1</v>
      </c>
      <c r="I64">
        <v>0.5</v>
      </c>
    </row>
    <row r="65" spans="1:9" x14ac:dyDescent="0.25">
      <c r="A65" t="s">
        <v>315</v>
      </c>
      <c r="B65" t="s">
        <v>133</v>
      </c>
      <c r="C65" s="4">
        <f>1/tf*(0.00009*C57+6.7-(350000/(C57+75000)))*(0.8+0.68*tf)</f>
        <v>7.7521389361059043</v>
      </c>
      <c r="D65" s="45" t="s">
        <v>317</v>
      </c>
      <c r="H65">
        <v>2</v>
      </c>
      <c r="I65">
        <v>0.56999999999999995</v>
      </c>
    </row>
    <row r="66" spans="1:9" x14ac:dyDescent="0.25">
      <c r="A66" t="s">
        <v>320</v>
      </c>
      <c r="B66" t="s">
        <v>134</v>
      </c>
      <c r="C66" s="10">
        <f>1/tf*(0.0000042+0.0000022*tf)*C17</f>
        <v>315.82823942891514</v>
      </c>
      <c r="D66" s="45" t="s">
        <v>317</v>
      </c>
      <c r="E66" s="2"/>
      <c r="H66">
        <v>3</v>
      </c>
      <c r="I66">
        <v>0.64</v>
      </c>
    </row>
    <row r="67" spans="1:9" x14ac:dyDescent="0.25">
      <c r="A67" t="s">
        <v>316</v>
      </c>
      <c r="B67" t="s">
        <v>135</v>
      </c>
      <c r="C67" s="4">
        <f>(n_E*0.21*C60*C62*(1+0.000102*T_to)^0.4)*(1+1.3/tf)</f>
        <v>2.3311743421789144</v>
      </c>
      <c r="D67" s="45" t="s">
        <v>317</v>
      </c>
    </row>
    <row r="68" spans="1:9" x14ac:dyDescent="0.25">
      <c r="A68" t="s">
        <v>321</v>
      </c>
      <c r="B68" t="s">
        <v>136</v>
      </c>
      <c r="C68" s="10">
        <f>(k_inf*n_E*2.56*C60*(C61+C62)*(1+0.000102*T_to)^0.8)*(1+1.3/tf)</f>
        <v>341.77126266344948</v>
      </c>
      <c r="D68" s="45" t="s">
        <v>317</v>
      </c>
    </row>
    <row r="69" spans="1:9" x14ac:dyDescent="0.25">
      <c r="A69" t="s">
        <v>322</v>
      </c>
      <c r="B69" t="s">
        <v>137</v>
      </c>
      <c r="C69" s="10">
        <f>65*k_inf</f>
        <v>138.54166813659856</v>
      </c>
      <c r="D69" s="40" t="s">
        <v>314</v>
      </c>
    </row>
    <row r="70" spans="1:9" x14ac:dyDescent="0.25">
      <c r="C70" s="10"/>
    </row>
    <row r="71" spans="1:9" x14ac:dyDescent="0.25">
      <c r="B71" t="s">
        <v>138</v>
      </c>
      <c r="C71" s="80">
        <f>((C65+C67)*C69+C66+C68)*tf*nt_a</f>
        <v>5384207.6099153152</v>
      </c>
    </row>
    <row r="72" spans="1:9" x14ac:dyDescent="0.25">
      <c r="C72" s="10"/>
    </row>
    <row r="73" spans="1:9" x14ac:dyDescent="0.25">
      <c r="A73" s="100" t="s">
        <v>139</v>
      </c>
      <c r="B73" s="100"/>
      <c r="C73" s="100"/>
      <c r="D73" s="100"/>
    </row>
    <row r="74" spans="1:9" x14ac:dyDescent="0.25">
      <c r="A74" t="s">
        <v>323</v>
      </c>
      <c r="B74" t="s">
        <v>140</v>
      </c>
      <c r="C74" s="15">
        <v>2</v>
      </c>
    </row>
    <row r="75" spans="1:9" x14ac:dyDescent="0.25">
      <c r="A75" t="s">
        <v>324</v>
      </c>
      <c r="B75" t="s">
        <v>141</v>
      </c>
      <c r="C75" s="9">
        <f>n_PAX</f>
        <v>150</v>
      </c>
    </row>
    <row r="76" spans="1:9" x14ac:dyDescent="0.25">
      <c r="A76" t="s">
        <v>325</v>
      </c>
      <c r="B76" t="s">
        <v>142</v>
      </c>
      <c r="C76" s="15">
        <f>ROUNDUP(n_PAX/50,0)</f>
        <v>3</v>
      </c>
      <c r="D76" s="40" t="s">
        <v>415</v>
      </c>
      <c r="E76" s="60"/>
    </row>
    <row r="77" spans="1:9" x14ac:dyDescent="0.25">
      <c r="A77" t="s">
        <v>326</v>
      </c>
      <c r="B77" t="s">
        <v>143</v>
      </c>
      <c r="C77" s="10">
        <f>k_inf*VLOOKUP(C6,F4:L5,6,FALSE)</f>
        <v>525.39263377956217</v>
      </c>
      <c r="D77" s="40" t="s">
        <v>386</v>
      </c>
    </row>
    <row r="78" spans="1:9" x14ac:dyDescent="0.25">
      <c r="A78" t="s">
        <v>327</v>
      </c>
      <c r="B78" t="s">
        <v>144</v>
      </c>
      <c r="C78" s="10">
        <f>k_inf*VLOOKUP(C6,F4:L5,7,FALSE)</f>
        <v>172.64423260099204</v>
      </c>
      <c r="D78" s="40" t="s">
        <v>386</v>
      </c>
    </row>
    <row r="79" spans="1:9" x14ac:dyDescent="0.25">
      <c r="A79" t="s">
        <v>213</v>
      </c>
      <c r="B79" t="s">
        <v>145</v>
      </c>
      <c r="C79" s="8">
        <f>tf+VLOOKUP(C6,F4:J5,5,FALSE)</f>
        <v>1.9912726422869818</v>
      </c>
      <c r="D79" t="s">
        <v>128</v>
      </c>
    </row>
    <row r="80" spans="1:9" x14ac:dyDescent="0.25">
      <c r="C80" s="10"/>
    </row>
    <row r="81" spans="1:5" x14ac:dyDescent="0.25">
      <c r="B81" t="s">
        <v>146</v>
      </c>
      <c r="C81" s="80">
        <f>(C74*C77+C76*C78)*tb*nt_a</f>
        <v>4701236.4776739199</v>
      </c>
    </row>
    <row r="82" spans="1:5" x14ac:dyDescent="0.25">
      <c r="C82" s="10"/>
    </row>
    <row r="83" spans="1:5" x14ac:dyDescent="0.25">
      <c r="A83" s="100" t="s">
        <v>147</v>
      </c>
      <c r="B83" s="100"/>
      <c r="C83" s="100"/>
      <c r="D83" s="100"/>
    </row>
    <row r="84" spans="1:5" x14ac:dyDescent="0.25">
      <c r="A84" t="s">
        <v>328</v>
      </c>
      <c r="B84" t="s">
        <v>148</v>
      </c>
      <c r="C84" s="26" t="e">
        <f>ROUNDDOWN(IF(MTOW-OEW-mFOB&lt;m_PLmax,MTOW-OEW-mFOB,m_PLmax),0)</f>
        <v>#VALUE!</v>
      </c>
      <c r="D84" t="s">
        <v>16</v>
      </c>
      <c r="E84" s="40" t="s">
        <v>329</v>
      </c>
    </row>
    <row r="85" spans="1:5" x14ac:dyDescent="0.25">
      <c r="A85" t="s">
        <v>330</v>
      </c>
      <c r="B85" t="s">
        <v>149</v>
      </c>
      <c r="C85" s="10">
        <f>VLOOKUP(C6,Table8[],8,FALSE)*MTOW*nt_a*k_inf</f>
        <v>1839015.9570120226</v>
      </c>
      <c r="D85" s="40" t="s">
        <v>277</v>
      </c>
    </row>
    <row r="86" spans="1:5" x14ac:dyDescent="0.25">
      <c r="A86" t="s">
        <v>331</v>
      </c>
      <c r="B86" t="s">
        <v>150</v>
      </c>
      <c r="C86" s="10">
        <f>VLOOKUP(C6,Table8[],9,FALSE)*range_mile*SQRT(MTOW)*nt_a*k_inf</f>
        <v>2916069.3166240887</v>
      </c>
      <c r="D86" s="40" t="s">
        <v>340</v>
      </c>
    </row>
    <row r="87" spans="1:5" x14ac:dyDescent="0.25">
      <c r="A87" t="s">
        <v>332</v>
      </c>
      <c r="B87" t="s">
        <v>151</v>
      </c>
      <c r="C87" s="10" t="e">
        <f>VLOOKUP(C6,Table8[],10,FALSE)*m_PL*nt_a*k_inf</f>
        <v>#VALUE!</v>
      </c>
      <c r="D87" s="40" t="s">
        <v>341</v>
      </c>
    </row>
    <row r="88" spans="1:5" x14ac:dyDescent="0.25">
      <c r="C88" s="10"/>
    </row>
    <row r="89" spans="1:5" x14ac:dyDescent="0.25">
      <c r="B89" t="s">
        <v>152</v>
      </c>
      <c r="C89" s="80" t="e">
        <f>C85+C86+C87</f>
        <v>#VALUE!</v>
      </c>
    </row>
    <row r="90" spans="1:5" x14ac:dyDescent="0.25">
      <c r="C90" s="10"/>
    </row>
    <row r="91" spans="1:5" x14ac:dyDescent="0.25">
      <c r="A91" s="100" t="s">
        <v>270</v>
      </c>
      <c r="B91" s="100"/>
      <c r="C91" s="100"/>
      <c r="D91" s="100"/>
    </row>
    <row r="92" spans="1:5" x14ac:dyDescent="0.25">
      <c r="A92" t="s">
        <v>426</v>
      </c>
      <c r="B92" s="39" t="s">
        <v>153</v>
      </c>
      <c r="C92" s="11" t="e">
        <f>C23+C28+C33+C52+C71+C81+C89</f>
        <v>#VALUE!</v>
      </c>
      <c r="D92" s="40" t="s">
        <v>333</v>
      </c>
    </row>
    <row r="93" spans="1:5" x14ac:dyDescent="0.25">
      <c r="A93" t="s">
        <v>209</v>
      </c>
      <c r="B93" s="39" t="s">
        <v>208</v>
      </c>
      <c r="C93" s="11" t="e">
        <f>Cdoc/(n_PAX*nt_a*range_mile)</f>
        <v>#VALUE!</v>
      </c>
      <c r="D93" s="40"/>
    </row>
    <row r="94" spans="1:5" x14ac:dyDescent="0.25">
      <c r="A94" s="39" t="s">
        <v>422</v>
      </c>
      <c r="C94" s="12" t="e">
        <f>Cdoc/nt_a</f>
        <v>#VALUE!</v>
      </c>
    </row>
    <row r="95" spans="1:5" x14ac:dyDescent="0.25">
      <c r="A95" s="100" t="s">
        <v>334</v>
      </c>
      <c r="B95" s="100"/>
      <c r="C95" s="100"/>
      <c r="D95" s="100"/>
    </row>
    <row r="96" spans="1:5" x14ac:dyDescent="0.25">
      <c r="A96" t="s">
        <v>344</v>
      </c>
      <c r="B96" t="s">
        <v>158</v>
      </c>
      <c r="C96" s="18">
        <f>tf*VLOOKUP(C6,Table8[],11,FALSE)/(C59+VLOOKUP(C6,Table8[],12,FALSE))</f>
        <v>2621.0589309815036</v>
      </c>
      <c r="D96" t="s">
        <v>345</v>
      </c>
    </row>
    <row r="97" spans="1:4" x14ac:dyDescent="0.25">
      <c r="A97" t="s">
        <v>346</v>
      </c>
      <c r="B97" t="s">
        <v>159</v>
      </c>
      <c r="C97" s="18">
        <f>-0.00796*(tf-8.124)^2+0.525</f>
        <v>0.20071590015773022</v>
      </c>
    </row>
    <row r="98" spans="1:4" x14ac:dyDescent="0.25">
      <c r="A98" t="s">
        <v>427</v>
      </c>
      <c r="B98" t="s">
        <v>428</v>
      </c>
      <c r="C98" s="4">
        <f>Uaf/365</f>
        <v>7.1809833725520651</v>
      </c>
      <c r="D98" t="s">
        <v>429</v>
      </c>
    </row>
    <row r="99" spans="1:4" x14ac:dyDescent="0.25">
      <c r="A99" s="100" t="s">
        <v>154</v>
      </c>
      <c r="B99" s="100"/>
      <c r="C99" s="100"/>
      <c r="D99" s="100"/>
    </row>
    <row r="100" spans="1:4" x14ac:dyDescent="0.25">
      <c r="B100" t="s">
        <v>93</v>
      </c>
      <c r="C100" s="10">
        <f>$C$23</f>
        <v>6200021.44538524</v>
      </c>
      <c r="D100" s="10"/>
    </row>
    <row r="101" spans="1:4" x14ac:dyDescent="0.25">
      <c r="B101" t="s">
        <v>102</v>
      </c>
      <c r="C101" s="10">
        <f>$C$28</f>
        <v>5101928.7582803434</v>
      </c>
      <c r="D101" s="10"/>
    </row>
    <row r="102" spans="1:4" x14ac:dyDescent="0.25">
      <c r="B102" t="s">
        <v>104</v>
      </c>
      <c r="C102" s="10">
        <f>C33</f>
        <v>423617.79295613791</v>
      </c>
      <c r="D102" s="10"/>
    </row>
    <row r="103" spans="1:4" x14ac:dyDescent="0.25">
      <c r="B103" t="s">
        <v>155</v>
      </c>
      <c r="C103" s="10" t="e">
        <f>C52</f>
        <v>#VALUE!</v>
      </c>
      <c r="D103" s="10"/>
    </row>
    <row r="104" spans="1:4" x14ac:dyDescent="0.25">
      <c r="B104" t="s">
        <v>156</v>
      </c>
      <c r="C104" s="10">
        <f>$C$71</f>
        <v>5384207.6099153152</v>
      </c>
      <c r="D104" s="10"/>
    </row>
    <row r="105" spans="1:4" x14ac:dyDescent="0.25">
      <c r="B105" t="s">
        <v>157</v>
      </c>
      <c r="C105" s="10">
        <f>$C$81</f>
        <v>4701236.4776739199</v>
      </c>
      <c r="D105" s="10"/>
    </row>
    <row r="106" spans="1:4" x14ac:dyDescent="0.25">
      <c r="B106" t="s">
        <v>147</v>
      </c>
      <c r="C106" s="10" t="e">
        <f>$C$89</f>
        <v>#VALUE!</v>
      </c>
      <c r="D106" s="10"/>
    </row>
    <row r="110" spans="1:4" x14ac:dyDescent="0.25">
      <c r="B110" s="2"/>
    </row>
    <row r="126" spans="6:8" x14ac:dyDescent="0.25">
      <c r="F126" s="2"/>
      <c r="H126" s="4"/>
    </row>
    <row r="135" spans="1:5" x14ac:dyDescent="0.25">
      <c r="A135" t="s">
        <v>478</v>
      </c>
      <c r="B135" t="s">
        <v>199</v>
      </c>
      <c r="C135" t="s">
        <v>200</v>
      </c>
      <c r="D135" t="s">
        <v>201</v>
      </c>
      <c r="E135" t="s">
        <v>202</v>
      </c>
    </row>
    <row r="136" spans="1:5" x14ac:dyDescent="0.25">
      <c r="A136" s="19" t="s">
        <v>17</v>
      </c>
      <c r="B136" s="19">
        <v>0.4</v>
      </c>
      <c r="C136" s="19">
        <v>0.5</v>
      </c>
      <c r="D136" s="19">
        <v>0.75</v>
      </c>
      <c r="E136" s="19">
        <v>0.8</v>
      </c>
    </row>
    <row r="137" spans="1:5" x14ac:dyDescent="0.25">
      <c r="A137" t="s">
        <v>448</v>
      </c>
      <c r="B137">
        <v>3000</v>
      </c>
      <c r="C137">
        <v>7000</v>
      </c>
      <c r="D137">
        <v>11000</v>
      </c>
      <c r="E137">
        <v>12500</v>
      </c>
    </row>
    <row r="138" spans="1:5" x14ac:dyDescent="0.25">
      <c r="A138" t="s">
        <v>93</v>
      </c>
      <c r="B138" s="10">
        <v>6200021.44538524</v>
      </c>
      <c r="C138" s="10">
        <v>6200021.44538524</v>
      </c>
      <c r="D138" s="10">
        <v>6200021.44538524</v>
      </c>
      <c r="E138" s="10">
        <v>6200021.44538524</v>
      </c>
    </row>
    <row r="139" spans="1:5" x14ac:dyDescent="0.25">
      <c r="A139" t="s">
        <v>102</v>
      </c>
      <c r="B139" s="10">
        <v>5101928.7582803434</v>
      </c>
      <c r="C139" s="10">
        <v>5101928.7582803434</v>
      </c>
      <c r="D139" s="10">
        <v>5101928.7582803434</v>
      </c>
      <c r="E139" s="10">
        <v>5101928.7582803434</v>
      </c>
    </row>
    <row r="140" spans="1:5" x14ac:dyDescent="0.25">
      <c r="A140" t="s">
        <v>104</v>
      </c>
      <c r="B140" s="10">
        <v>423617.79295613791</v>
      </c>
      <c r="C140" s="10">
        <v>423617.79295613791</v>
      </c>
      <c r="D140" s="10">
        <v>423617.79295613791</v>
      </c>
      <c r="E140" s="10">
        <v>423617.79295613791</v>
      </c>
    </row>
    <row r="141" spans="1:5" x14ac:dyDescent="0.25">
      <c r="A141" t="s">
        <v>155</v>
      </c>
      <c r="B141" s="10">
        <v>2413909.7883061506</v>
      </c>
      <c r="C141" s="10">
        <v>2691784.3049266273</v>
      </c>
      <c r="D141" s="10">
        <v>3128502.3644823916</v>
      </c>
      <c r="E141" s="10">
        <v>3396793.1602094015</v>
      </c>
    </row>
    <row r="142" spans="1:5" x14ac:dyDescent="0.25">
      <c r="A142" t="s">
        <v>156</v>
      </c>
      <c r="B142" s="10">
        <v>5023752.6903652027</v>
      </c>
      <c r="C142" s="10">
        <v>5106346.3050972782</v>
      </c>
      <c r="D142" s="10">
        <v>5285011.8435956473</v>
      </c>
      <c r="E142" s="10">
        <v>5320396.0960207079</v>
      </c>
    </row>
    <row r="143" spans="1:5" x14ac:dyDescent="0.25">
      <c r="A143" t="s">
        <v>157</v>
      </c>
      <c r="B143" s="10">
        <v>5130719.3778327564</v>
      </c>
      <c r="C143" s="10">
        <v>5031588.6445801696</v>
      </c>
      <c r="D143" s="10">
        <v>4819748.9074621452</v>
      </c>
      <c r="E143" s="10">
        <v>4778910.8931653835</v>
      </c>
    </row>
    <row r="144" spans="1:5" x14ac:dyDescent="0.25">
      <c r="A144" t="s">
        <v>147</v>
      </c>
      <c r="B144" s="10">
        <v>6674835.2697922885</v>
      </c>
      <c r="C144" s="10">
        <v>7553653.7065674486</v>
      </c>
      <c r="D144" s="10">
        <v>9443810.820583865</v>
      </c>
      <c r="E144" s="10">
        <v>9813472.5439892896</v>
      </c>
    </row>
    <row r="145" spans="1:5" x14ac:dyDescent="0.25">
      <c r="B145" s="4"/>
      <c r="C145" s="4"/>
      <c r="D145" s="4"/>
      <c r="E145" s="4"/>
    </row>
    <row r="146" spans="1:5" x14ac:dyDescent="0.25">
      <c r="A146" t="s">
        <v>433</v>
      </c>
      <c r="B146" s="4">
        <v>3.1676017529927822</v>
      </c>
      <c r="C146" s="4">
        <v>2.7116368250597405</v>
      </c>
      <c r="D146" s="4">
        <v>2.0191378444101704</v>
      </c>
      <c r="E146" s="4">
        <v>1.9151598503068876</v>
      </c>
    </row>
    <row r="147" spans="1:5" x14ac:dyDescent="0.25">
      <c r="A147" t="s">
        <v>209</v>
      </c>
      <c r="B147" s="34">
        <v>0.26636103586506144</v>
      </c>
      <c r="C147" s="34">
        <v>0.2440371751465398</v>
      </c>
      <c r="D147" s="34">
        <v>0.2091373473147716</v>
      </c>
      <c r="E147" s="34">
        <v>0.20495958479946944</v>
      </c>
    </row>
    <row r="177" spans="1:9" x14ac:dyDescent="0.25">
      <c r="A177" s="19"/>
      <c r="B177" s="19"/>
      <c r="C177" s="19"/>
      <c r="D177" s="19"/>
      <c r="E177" s="19"/>
      <c r="F177" s="19"/>
      <c r="G177" s="19"/>
      <c r="H177" s="19"/>
      <c r="I177" s="19"/>
    </row>
    <row r="178" spans="1:9" x14ac:dyDescent="0.25">
      <c r="A178" s="58"/>
      <c r="B178" s="58"/>
      <c r="C178" s="58"/>
      <c r="D178" s="58"/>
      <c r="E178" s="19"/>
      <c r="F178" s="19"/>
      <c r="G178" s="19"/>
      <c r="H178" s="19"/>
      <c r="I178" s="19"/>
    </row>
    <row r="179" spans="1:9" x14ac:dyDescent="0.25">
      <c r="A179" s="19"/>
      <c r="B179" s="19"/>
      <c r="C179" s="19"/>
      <c r="D179" s="19"/>
      <c r="E179" s="19"/>
      <c r="F179" s="19"/>
      <c r="G179" s="19"/>
      <c r="H179" s="19"/>
      <c r="I179" s="19"/>
    </row>
    <row r="180" spans="1:9" x14ac:dyDescent="0.25">
      <c r="A180" s="19"/>
      <c r="B180" s="19"/>
      <c r="C180" s="19"/>
      <c r="D180" s="19"/>
      <c r="E180" s="19"/>
      <c r="F180" s="19"/>
      <c r="G180" s="19"/>
      <c r="H180" s="19"/>
      <c r="I180" s="19"/>
    </row>
    <row r="181" spans="1:9" x14ac:dyDescent="0.25">
      <c r="A181" s="19"/>
      <c r="B181" s="19"/>
      <c r="C181" s="19"/>
      <c r="D181" s="19"/>
      <c r="E181" s="19"/>
      <c r="F181" s="19"/>
      <c r="G181" s="19"/>
      <c r="H181" s="19"/>
      <c r="I181" s="19"/>
    </row>
    <row r="182" spans="1:9" x14ac:dyDescent="0.25">
      <c r="A182" s="19"/>
      <c r="B182" s="19"/>
      <c r="C182" s="8"/>
      <c r="D182" s="19"/>
      <c r="E182" s="19"/>
      <c r="F182" s="19"/>
      <c r="G182" s="19"/>
      <c r="H182" s="19"/>
      <c r="I182" s="19"/>
    </row>
    <row r="183" spans="1:9" x14ac:dyDescent="0.25">
      <c r="A183" s="19"/>
      <c r="B183" s="19"/>
      <c r="C183" s="8"/>
      <c r="D183" s="19"/>
      <c r="E183" s="19"/>
      <c r="F183" s="19"/>
      <c r="G183" s="19"/>
      <c r="H183" s="19"/>
      <c r="I183" s="19"/>
    </row>
    <row r="184" spans="1:9" x14ac:dyDescent="0.25">
      <c r="A184" s="19"/>
      <c r="B184" s="19"/>
      <c r="C184" s="19"/>
      <c r="D184" s="19"/>
      <c r="E184" s="19"/>
      <c r="F184" s="19"/>
      <c r="G184" s="19"/>
      <c r="H184" s="19"/>
      <c r="I184" s="19"/>
    </row>
    <row r="185" spans="1:9" x14ac:dyDescent="0.25">
      <c r="A185" s="19"/>
      <c r="B185" s="19"/>
      <c r="C185" s="8"/>
      <c r="D185" s="19"/>
      <c r="E185" s="19"/>
      <c r="F185" s="19"/>
      <c r="G185" s="19"/>
      <c r="H185" s="19"/>
      <c r="I185" s="19"/>
    </row>
    <row r="186" spans="1:9" x14ac:dyDescent="0.25">
      <c r="A186" s="19"/>
      <c r="B186" s="19"/>
      <c r="C186" s="8"/>
      <c r="D186" s="19"/>
      <c r="E186" s="19"/>
      <c r="F186" s="19"/>
      <c r="G186" s="19"/>
      <c r="H186" s="19"/>
      <c r="I186" s="19"/>
    </row>
    <row r="187" spans="1:9" x14ac:dyDescent="0.25">
      <c r="A187" s="19"/>
      <c r="B187" s="19"/>
      <c r="C187" s="19"/>
      <c r="D187" s="19"/>
      <c r="E187" s="19"/>
      <c r="F187" s="19"/>
      <c r="G187" s="19"/>
      <c r="H187" s="19"/>
      <c r="I187" s="19"/>
    </row>
    <row r="188" spans="1:9" x14ac:dyDescent="0.25">
      <c r="A188" s="19"/>
      <c r="B188" s="19"/>
      <c r="C188" s="19"/>
      <c r="D188" s="19"/>
      <c r="E188" s="19"/>
      <c r="F188" s="19"/>
      <c r="G188" s="19"/>
      <c r="H188" s="19"/>
      <c r="I188" s="19"/>
    </row>
    <row r="189" spans="1:9" x14ac:dyDescent="0.25">
      <c r="A189" s="58"/>
      <c r="B189" s="58"/>
      <c r="C189" s="58"/>
      <c r="D189" s="58"/>
      <c r="E189" s="19"/>
      <c r="F189" s="19"/>
      <c r="G189" s="19"/>
      <c r="H189" s="19"/>
      <c r="I189" s="19"/>
    </row>
    <row r="190" spans="1:9" x14ac:dyDescent="0.25">
      <c r="A190" s="19"/>
      <c r="B190" s="19"/>
      <c r="C190" s="8"/>
      <c r="D190" s="19"/>
      <c r="E190" s="19"/>
      <c r="F190" s="19"/>
      <c r="G190" s="19"/>
      <c r="H190" s="19"/>
      <c r="I190" s="19"/>
    </row>
    <row r="191" spans="1:9" x14ac:dyDescent="0.25">
      <c r="A191" s="19"/>
      <c r="B191" s="19"/>
      <c r="C191" s="8"/>
      <c r="D191" s="19"/>
      <c r="E191" s="19"/>
      <c r="F191" s="19"/>
      <c r="G191" s="19"/>
      <c r="H191" s="19"/>
      <c r="I191" s="19"/>
    </row>
    <row r="192" spans="1:9" x14ac:dyDescent="0.25">
      <c r="A192" s="19"/>
      <c r="B192" s="19"/>
      <c r="C192" s="8"/>
      <c r="D192" s="19"/>
      <c r="E192" s="19"/>
      <c r="F192" s="19"/>
      <c r="G192" s="19"/>
      <c r="H192" s="19"/>
      <c r="I192" s="19"/>
    </row>
    <row r="193" spans="1:9" x14ac:dyDescent="0.25">
      <c r="A193" s="19"/>
      <c r="B193" s="19"/>
      <c r="C193" s="8"/>
      <c r="D193" s="19"/>
      <c r="E193" s="19"/>
      <c r="F193" s="19"/>
      <c r="G193" s="19"/>
      <c r="H193" s="19"/>
      <c r="I193" s="19"/>
    </row>
    <row r="194" spans="1:9" x14ac:dyDescent="0.25">
      <c r="A194" s="58"/>
      <c r="B194" s="58"/>
      <c r="C194" s="58"/>
      <c r="D194" s="58"/>
      <c r="E194" s="19"/>
      <c r="F194" s="19"/>
      <c r="G194" s="19"/>
      <c r="H194" s="19"/>
      <c r="I194" s="19"/>
    </row>
    <row r="195" spans="1:9" x14ac:dyDescent="0.25">
      <c r="A195" s="19"/>
      <c r="B195" s="19"/>
      <c r="C195" s="8"/>
      <c r="D195" s="19"/>
      <c r="E195" s="19"/>
      <c r="F195" s="19"/>
      <c r="G195" s="19"/>
      <c r="H195" s="19"/>
      <c r="I195" s="19"/>
    </row>
    <row r="196" spans="1:9" x14ac:dyDescent="0.25">
      <c r="A196" s="19"/>
      <c r="B196" s="19"/>
      <c r="C196" s="8"/>
      <c r="D196" s="19"/>
      <c r="E196" s="19"/>
      <c r="F196" s="19"/>
      <c r="G196" s="19"/>
      <c r="H196" s="19"/>
      <c r="I196" s="19"/>
    </row>
    <row r="197" spans="1:9" x14ac:dyDescent="0.25">
      <c r="A197" s="19"/>
      <c r="B197" s="19"/>
      <c r="C197" s="8"/>
      <c r="D197" s="19"/>
      <c r="E197" s="19"/>
      <c r="F197" s="19"/>
      <c r="G197" s="19"/>
      <c r="H197" s="19"/>
      <c r="I197" s="19"/>
    </row>
    <row r="198" spans="1:9" x14ac:dyDescent="0.25">
      <c r="A198" s="19"/>
      <c r="B198" s="19"/>
      <c r="C198" s="8"/>
      <c r="D198" s="19"/>
      <c r="E198" s="19"/>
      <c r="F198" s="19"/>
      <c r="G198" s="19"/>
      <c r="H198" s="19"/>
      <c r="I198" s="19"/>
    </row>
    <row r="199" spans="1:9" x14ac:dyDescent="0.25">
      <c r="A199" s="58"/>
      <c r="B199" s="58"/>
      <c r="C199" s="58"/>
      <c r="D199" s="58"/>
      <c r="E199" s="19"/>
      <c r="F199" s="19"/>
      <c r="G199" s="19"/>
      <c r="H199" s="19"/>
      <c r="I199" s="19"/>
    </row>
    <row r="200" spans="1:9" x14ac:dyDescent="0.25">
      <c r="A200" s="19"/>
      <c r="B200" s="19"/>
      <c r="C200" s="19"/>
      <c r="D200" s="19"/>
      <c r="E200" s="19"/>
      <c r="F200" s="19"/>
      <c r="G200" s="19"/>
      <c r="H200" s="19"/>
      <c r="I200" s="19"/>
    </row>
    <row r="201" spans="1:9" x14ac:dyDescent="0.25">
      <c r="A201" s="19"/>
      <c r="B201" s="19"/>
      <c r="C201" s="8"/>
      <c r="D201" s="19"/>
      <c r="E201" s="19"/>
      <c r="F201" s="19"/>
      <c r="G201" s="19"/>
      <c r="H201" s="19"/>
      <c r="I201" s="19"/>
    </row>
    <row r="202" spans="1:9" x14ac:dyDescent="0.25">
      <c r="A202" s="19"/>
      <c r="B202" s="19"/>
      <c r="C202" s="8"/>
      <c r="D202" s="19"/>
      <c r="E202" s="19"/>
      <c r="F202" s="19"/>
      <c r="G202" s="19"/>
      <c r="H202" s="19"/>
      <c r="I202" s="19"/>
    </row>
    <row r="203" spans="1:9" x14ac:dyDescent="0.25">
      <c r="A203" s="19"/>
      <c r="B203" s="19"/>
      <c r="C203" s="8"/>
      <c r="D203" s="19"/>
      <c r="E203" s="19"/>
      <c r="F203" s="19"/>
      <c r="G203" s="19"/>
      <c r="H203" s="19"/>
      <c r="I203" s="19"/>
    </row>
    <row r="204" spans="1:9" x14ac:dyDescent="0.25">
      <c r="A204" s="19"/>
      <c r="B204" s="19"/>
      <c r="C204" s="8"/>
      <c r="D204" s="19"/>
      <c r="E204" s="19"/>
      <c r="F204" s="54"/>
      <c r="G204" s="19"/>
      <c r="H204" s="19"/>
      <c r="I204" s="19"/>
    </row>
    <row r="205" spans="1:9" x14ac:dyDescent="0.25">
      <c r="A205" s="58"/>
      <c r="B205" s="58"/>
      <c r="C205" s="58"/>
      <c r="D205" s="58"/>
      <c r="E205" s="19"/>
      <c r="F205" s="19"/>
      <c r="G205" s="19"/>
      <c r="H205" s="19"/>
      <c r="I205" s="19"/>
    </row>
    <row r="206" spans="1:9" x14ac:dyDescent="0.25">
      <c r="A206" s="19"/>
      <c r="B206" s="19"/>
      <c r="C206" s="19"/>
      <c r="D206" s="19"/>
      <c r="E206" s="19"/>
      <c r="F206" s="19"/>
      <c r="G206" s="19"/>
      <c r="H206" s="19"/>
      <c r="I206" s="19"/>
    </row>
    <row r="207" spans="1:9" x14ac:dyDescent="0.25">
      <c r="A207" s="19"/>
      <c r="B207" s="19"/>
      <c r="C207" s="8"/>
      <c r="D207" s="19"/>
      <c r="E207" s="19"/>
      <c r="F207" s="19"/>
      <c r="G207" s="19"/>
      <c r="H207" s="19"/>
      <c r="I207" s="19"/>
    </row>
    <row r="208" spans="1:9" x14ac:dyDescent="0.25">
      <c r="A208" s="19"/>
      <c r="B208" s="19"/>
      <c r="C208" s="8"/>
      <c r="D208" s="19"/>
      <c r="E208" s="19"/>
      <c r="F208" s="19"/>
      <c r="G208" s="19"/>
      <c r="H208" s="19"/>
      <c r="I208" s="19"/>
    </row>
    <row r="209" spans="1:9" x14ac:dyDescent="0.25">
      <c r="A209" s="19"/>
      <c r="B209" s="19"/>
      <c r="C209" s="8"/>
      <c r="D209" s="19"/>
      <c r="E209" s="19"/>
      <c r="F209" s="19"/>
      <c r="G209" s="19"/>
      <c r="H209" s="19"/>
      <c r="I209" s="19"/>
    </row>
    <row r="210" spans="1:9" x14ac:dyDescent="0.25">
      <c r="A210" s="19"/>
      <c r="B210" s="19"/>
      <c r="C210" s="8"/>
      <c r="D210" s="19"/>
      <c r="E210" s="19"/>
      <c r="F210" s="19"/>
      <c r="G210" s="19"/>
      <c r="H210" s="19"/>
      <c r="I210" s="19"/>
    </row>
    <row r="211" spans="1:9" x14ac:dyDescent="0.25">
      <c r="A211" s="58"/>
      <c r="B211" s="58"/>
      <c r="C211" s="58"/>
      <c r="D211" s="58"/>
      <c r="E211" s="19"/>
      <c r="F211" s="19"/>
      <c r="G211" s="19"/>
      <c r="H211" s="19"/>
      <c r="I211" s="19"/>
    </row>
    <row r="212" spans="1:9" x14ac:dyDescent="0.25">
      <c r="A212" s="19"/>
      <c r="B212" s="19"/>
      <c r="C212" s="8"/>
      <c r="D212" s="19"/>
      <c r="E212" s="19"/>
      <c r="F212" s="19"/>
      <c r="G212" s="19"/>
      <c r="H212" s="19"/>
      <c r="I212" s="19"/>
    </row>
    <row r="213" spans="1:9" x14ac:dyDescent="0.25">
      <c r="A213" s="19"/>
      <c r="B213" s="19"/>
      <c r="C213" s="8"/>
      <c r="D213" s="19"/>
      <c r="E213" s="19"/>
      <c r="F213" s="19"/>
      <c r="G213" s="19"/>
      <c r="H213" s="19"/>
      <c r="I213" s="19"/>
    </row>
    <row r="214" spans="1:9" x14ac:dyDescent="0.25">
      <c r="A214" s="19"/>
      <c r="B214" s="19"/>
      <c r="C214" s="8"/>
      <c r="D214" s="19"/>
      <c r="E214" s="19"/>
      <c r="F214" s="19"/>
      <c r="G214" s="19"/>
      <c r="H214" s="19"/>
      <c r="I214" s="19"/>
    </row>
    <row r="215" spans="1:9" x14ac:dyDescent="0.25">
      <c r="A215" s="19"/>
      <c r="B215" s="19"/>
      <c r="C215" s="8"/>
      <c r="D215" s="19"/>
      <c r="E215" s="19"/>
      <c r="F215" s="19"/>
      <c r="G215" s="19"/>
      <c r="H215" s="19"/>
      <c r="I215" s="19"/>
    </row>
    <row r="216" spans="1:9" x14ac:dyDescent="0.25">
      <c r="A216" s="19"/>
      <c r="B216" s="19"/>
      <c r="C216" s="8"/>
      <c r="D216" s="19"/>
      <c r="E216" s="19"/>
      <c r="F216" s="19"/>
      <c r="G216" s="19"/>
      <c r="H216" s="19"/>
      <c r="I216" s="19"/>
    </row>
    <row r="217" spans="1:9" x14ac:dyDescent="0.25">
      <c r="A217" s="58"/>
      <c r="B217" s="58"/>
      <c r="C217" s="58"/>
      <c r="D217" s="58"/>
      <c r="E217" s="19"/>
      <c r="F217" s="19"/>
      <c r="G217" s="19"/>
      <c r="H217" s="19"/>
      <c r="I217" s="19"/>
    </row>
    <row r="218" spans="1:9" x14ac:dyDescent="0.25">
      <c r="A218" s="19"/>
      <c r="B218" s="19"/>
      <c r="C218" s="8"/>
      <c r="D218" s="19"/>
      <c r="E218" s="19"/>
      <c r="F218" s="19"/>
      <c r="G218" s="19"/>
      <c r="H218" s="19"/>
      <c r="I218" s="19"/>
    </row>
    <row r="219" spans="1:9" x14ac:dyDescent="0.25">
      <c r="A219" s="19"/>
      <c r="B219" s="19"/>
      <c r="C219" s="8"/>
      <c r="D219" s="19"/>
      <c r="E219" s="19"/>
      <c r="F219" s="19"/>
      <c r="G219" s="19"/>
      <c r="H219" s="19"/>
      <c r="I219" s="19"/>
    </row>
    <row r="220" spans="1:9" x14ac:dyDescent="0.25">
      <c r="A220" s="19"/>
      <c r="B220" s="19"/>
      <c r="C220" s="8"/>
      <c r="D220" s="19"/>
      <c r="E220" s="19"/>
      <c r="F220" s="19"/>
      <c r="G220" s="19"/>
      <c r="H220" s="19"/>
      <c r="I220" s="19"/>
    </row>
    <row r="221" spans="1:9" x14ac:dyDescent="0.25">
      <c r="A221" s="19"/>
      <c r="B221" s="19"/>
      <c r="C221" s="8"/>
      <c r="D221" s="19"/>
      <c r="E221" s="19"/>
      <c r="F221" s="19"/>
      <c r="G221" s="19"/>
      <c r="H221" s="19"/>
      <c r="I221" s="19"/>
    </row>
    <row r="222" spans="1:9" x14ac:dyDescent="0.25">
      <c r="A222" s="19"/>
      <c r="B222" s="19"/>
      <c r="C222" s="8"/>
      <c r="D222" s="19"/>
      <c r="E222" s="19"/>
      <c r="F222" s="19"/>
      <c r="G222" s="19"/>
      <c r="H222" s="19"/>
      <c r="I222" s="19"/>
    </row>
    <row r="223" spans="1:9" x14ac:dyDescent="0.25">
      <c r="A223" s="58"/>
      <c r="B223" s="58"/>
      <c r="C223" s="58"/>
      <c r="D223" s="58"/>
      <c r="E223" s="19"/>
      <c r="F223" s="19"/>
      <c r="G223" s="19"/>
      <c r="H223" s="19"/>
      <c r="I223" s="19"/>
    </row>
    <row r="224" spans="1:9" x14ac:dyDescent="0.25">
      <c r="A224" s="19"/>
      <c r="B224" s="19"/>
      <c r="C224" s="19"/>
      <c r="D224" s="19"/>
      <c r="E224" s="19"/>
      <c r="F224" s="19"/>
      <c r="G224" s="19"/>
      <c r="H224" s="19"/>
      <c r="I224" s="19"/>
    </row>
    <row r="225" spans="1:9" x14ac:dyDescent="0.25">
      <c r="A225" s="19"/>
      <c r="B225" s="19"/>
      <c r="C225" s="8"/>
      <c r="D225" s="19"/>
      <c r="E225" s="19"/>
      <c r="F225" s="19"/>
      <c r="G225" s="19"/>
      <c r="H225" s="19"/>
      <c r="I225" s="19"/>
    </row>
    <row r="226" spans="1:9" x14ac:dyDescent="0.25">
      <c r="A226" s="19"/>
      <c r="B226" s="19"/>
      <c r="C226" s="8"/>
      <c r="D226" s="19"/>
      <c r="E226" s="19"/>
      <c r="F226" s="19"/>
      <c r="G226" s="19"/>
      <c r="H226" s="19"/>
      <c r="I226" s="19"/>
    </row>
    <row r="227" spans="1:9" x14ac:dyDescent="0.25">
      <c r="A227" s="19"/>
      <c r="B227" s="19"/>
      <c r="C227" s="19"/>
      <c r="D227" s="19"/>
      <c r="E227" s="19"/>
      <c r="F227" s="19"/>
      <c r="G227" s="19"/>
      <c r="H227" s="19"/>
      <c r="I227" s="19"/>
    </row>
    <row r="228" spans="1:9" x14ac:dyDescent="0.25">
      <c r="A228" s="19"/>
      <c r="B228" s="19"/>
      <c r="C228" s="19"/>
      <c r="D228" s="19"/>
      <c r="E228" s="19"/>
      <c r="F228" s="19"/>
      <c r="G228" s="19"/>
      <c r="H228" s="19"/>
      <c r="I228" s="19"/>
    </row>
    <row r="229" spans="1:9" x14ac:dyDescent="0.25">
      <c r="A229" s="19"/>
      <c r="B229" s="19"/>
      <c r="C229" s="19"/>
      <c r="D229" s="19"/>
      <c r="E229" s="19"/>
      <c r="F229" s="19"/>
      <c r="G229" s="19"/>
      <c r="H229" s="19"/>
      <c r="I229" s="19"/>
    </row>
    <row r="230" spans="1:9" x14ac:dyDescent="0.25">
      <c r="A230" s="19"/>
      <c r="B230" s="19"/>
      <c r="C230" s="19"/>
      <c r="D230" s="19"/>
      <c r="E230" s="19"/>
      <c r="F230" s="19"/>
      <c r="G230" s="19"/>
      <c r="H230" s="19"/>
      <c r="I230" s="19"/>
    </row>
    <row r="231" spans="1:9" x14ac:dyDescent="0.25">
      <c r="A231" s="19"/>
      <c r="B231" s="19"/>
      <c r="C231" s="19"/>
      <c r="D231" s="19"/>
      <c r="E231" s="19"/>
      <c r="F231" s="19"/>
      <c r="G231" s="19"/>
      <c r="H231" s="19"/>
      <c r="I231" s="19"/>
    </row>
    <row r="232" spans="1:9" x14ac:dyDescent="0.25">
      <c r="A232" s="19"/>
      <c r="B232" s="19"/>
      <c r="C232" s="8"/>
      <c r="D232" s="8"/>
      <c r="E232" s="8"/>
      <c r="F232" s="8"/>
      <c r="G232" s="19"/>
      <c r="H232" s="19"/>
      <c r="I232" s="19"/>
    </row>
    <row r="233" spans="1:9" x14ac:dyDescent="0.25">
      <c r="A233" s="19"/>
      <c r="B233" s="19"/>
      <c r="C233" s="8"/>
      <c r="D233" s="8"/>
      <c r="E233" s="8"/>
      <c r="F233" s="8"/>
      <c r="G233" s="19"/>
      <c r="H233" s="19"/>
      <c r="I233" s="19"/>
    </row>
    <row r="234" spans="1:9" x14ac:dyDescent="0.25">
      <c r="A234" s="19"/>
      <c r="B234" s="19"/>
      <c r="C234" s="8"/>
      <c r="D234" s="8"/>
      <c r="E234" s="8"/>
      <c r="F234" s="8"/>
      <c r="G234" s="19"/>
      <c r="H234" s="19"/>
      <c r="I234" s="19"/>
    </row>
    <row r="235" spans="1:9" x14ac:dyDescent="0.25">
      <c r="A235" s="19"/>
      <c r="B235" s="19"/>
      <c r="C235" s="8"/>
      <c r="D235" s="8"/>
      <c r="E235" s="8"/>
      <c r="F235" s="8"/>
      <c r="G235" s="19"/>
      <c r="H235" s="19"/>
      <c r="I235" s="19"/>
    </row>
    <row r="236" spans="1:9" x14ac:dyDescent="0.25">
      <c r="A236" s="19"/>
      <c r="B236" s="19"/>
      <c r="C236" s="8"/>
      <c r="D236" s="8"/>
      <c r="E236" s="8"/>
      <c r="F236" s="8"/>
      <c r="G236" s="19"/>
      <c r="H236" s="19"/>
      <c r="I236" s="19"/>
    </row>
    <row r="237" spans="1:9" x14ac:dyDescent="0.25">
      <c r="A237" s="19"/>
      <c r="B237" s="19"/>
      <c r="C237" s="8"/>
      <c r="D237" s="8"/>
      <c r="E237" s="8"/>
      <c r="F237" s="8"/>
      <c r="G237" s="19"/>
      <c r="H237" s="19"/>
      <c r="I237" s="19"/>
    </row>
    <row r="238" spans="1:9" x14ac:dyDescent="0.25">
      <c r="A238" s="19"/>
      <c r="B238" s="19"/>
      <c r="C238" s="8"/>
      <c r="D238" s="8"/>
      <c r="E238" s="8"/>
      <c r="F238" s="8"/>
      <c r="G238" s="19"/>
      <c r="H238" s="19"/>
      <c r="I238" s="19"/>
    </row>
    <row r="239" spans="1:9" x14ac:dyDescent="0.25">
      <c r="A239" s="19"/>
      <c r="B239" s="19"/>
      <c r="C239" s="8"/>
      <c r="D239" s="8"/>
      <c r="E239" s="8"/>
      <c r="F239" s="8"/>
      <c r="G239" s="19"/>
      <c r="H239" s="19"/>
      <c r="I239" s="19"/>
    </row>
    <row r="240" spans="1:9" x14ac:dyDescent="0.25">
      <c r="A240" s="19"/>
      <c r="B240" s="19"/>
      <c r="C240" s="8"/>
      <c r="D240" s="8"/>
      <c r="E240" s="8"/>
      <c r="F240" s="8"/>
      <c r="G240" s="19"/>
      <c r="H240" s="19"/>
      <c r="I240" s="19"/>
    </row>
    <row r="241" spans="1:9" x14ac:dyDescent="0.25">
      <c r="A241" s="19"/>
      <c r="B241" s="19"/>
      <c r="C241" s="8"/>
      <c r="D241" s="8"/>
      <c r="E241" s="8"/>
      <c r="F241" s="8"/>
      <c r="G241" s="19"/>
      <c r="H241" s="19"/>
      <c r="I241" s="19"/>
    </row>
    <row r="242" spans="1:9" x14ac:dyDescent="0.25">
      <c r="A242" s="31"/>
      <c r="B242" s="19"/>
      <c r="C242" s="8"/>
      <c r="D242" s="8"/>
      <c r="E242" s="8"/>
      <c r="F242" s="8"/>
      <c r="G242" s="19"/>
      <c r="H242" s="19"/>
      <c r="I242" s="19"/>
    </row>
    <row r="243" spans="1:9" x14ac:dyDescent="0.25">
      <c r="A243" s="19"/>
      <c r="B243" s="19"/>
      <c r="C243" s="8"/>
      <c r="D243" s="8"/>
      <c r="E243" s="8"/>
      <c r="F243" s="8"/>
      <c r="G243" s="19"/>
      <c r="H243" s="19"/>
      <c r="I243" s="19"/>
    </row>
    <row r="244" spans="1:9" x14ac:dyDescent="0.25">
      <c r="A244" s="19"/>
      <c r="B244" s="19"/>
      <c r="C244" s="8"/>
      <c r="D244" s="8"/>
      <c r="E244" s="8"/>
      <c r="F244" s="8"/>
      <c r="G244" s="19"/>
      <c r="H244" s="19"/>
      <c r="I244" s="19"/>
    </row>
    <row r="245" spans="1:9" x14ac:dyDescent="0.25">
      <c r="A245" s="19"/>
      <c r="B245" s="19"/>
      <c r="C245" s="8"/>
      <c r="D245" s="8"/>
      <c r="E245" s="8"/>
      <c r="F245" s="8"/>
      <c r="G245" s="19"/>
      <c r="H245" s="19"/>
      <c r="I245" s="19"/>
    </row>
    <row r="246" spans="1:9" x14ac:dyDescent="0.25">
      <c r="A246" s="19"/>
      <c r="B246" s="19"/>
      <c r="C246" s="8"/>
      <c r="D246" s="8"/>
      <c r="E246" s="8"/>
      <c r="F246" s="8"/>
      <c r="G246" s="19"/>
      <c r="H246" s="19"/>
      <c r="I246" s="19"/>
    </row>
    <row r="247" spans="1:9" x14ac:dyDescent="0.25">
      <c r="A247" s="19"/>
      <c r="B247" s="19"/>
      <c r="C247" s="8"/>
      <c r="D247" s="8"/>
      <c r="E247" s="8"/>
      <c r="F247" s="8"/>
      <c r="G247" s="19"/>
      <c r="H247" s="19"/>
      <c r="I247" s="19"/>
    </row>
    <row r="248" spans="1:9" x14ac:dyDescent="0.25">
      <c r="A248" s="19"/>
      <c r="B248" s="19"/>
      <c r="C248" s="8"/>
      <c r="D248" s="8"/>
      <c r="E248" s="8"/>
      <c r="F248" s="8"/>
      <c r="G248" s="19"/>
      <c r="H248" s="19"/>
      <c r="I248" s="19"/>
    </row>
    <row r="249" spans="1:9" x14ac:dyDescent="0.25">
      <c r="A249" s="19"/>
      <c r="B249" s="19"/>
      <c r="C249" s="8"/>
      <c r="D249" s="8"/>
      <c r="E249" s="8"/>
      <c r="F249" s="8"/>
      <c r="G249" s="19"/>
      <c r="H249" s="19"/>
      <c r="I249" s="19"/>
    </row>
    <row r="250" spans="1:9" x14ac:dyDescent="0.25">
      <c r="A250" s="19"/>
      <c r="B250" s="19"/>
      <c r="C250" s="8"/>
      <c r="D250" s="8"/>
      <c r="E250" s="8"/>
      <c r="F250" s="8"/>
      <c r="G250" s="19"/>
      <c r="H250" s="19"/>
      <c r="I250" s="19"/>
    </row>
    <row r="251" spans="1:9" x14ac:dyDescent="0.25">
      <c r="A251" s="19"/>
      <c r="B251" s="19"/>
      <c r="C251" s="8"/>
      <c r="D251" s="8"/>
      <c r="E251" s="8"/>
      <c r="F251" s="8"/>
      <c r="G251" s="19"/>
      <c r="H251" s="19"/>
      <c r="I251" s="19"/>
    </row>
    <row r="252" spans="1:9" x14ac:dyDescent="0.25">
      <c r="A252" s="19"/>
      <c r="B252" s="19"/>
      <c r="C252" s="8"/>
      <c r="D252" s="8"/>
      <c r="E252" s="8"/>
      <c r="F252" s="8"/>
      <c r="G252" s="19"/>
      <c r="H252" s="19"/>
      <c r="I252" s="19"/>
    </row>
    <row r="253" spans="1:9" x14ac:dyDescent="0.25">
      <c r="A253" s="19"/>
      <c r="B253" s="19"/>
      <c r="C253" s="8"/>
      <c r="D253" s="8"/>
      <c r="E253" s="8"/>
      <c r="F253" s="8"/>
      <c r="G253" s="19"/>
      <c r="H253" s="19"/>
      <c r="I253" s="19"/>
    </row>
    <row r="254" spans="1:9" x14ac:dyDescent="0.25">
      <c r="A254" s="19"/>
      <c r="B254" s="19"/>
      <c r="C254" s="8"/>
      <c r="D254" s="8"/>
      <c r="E254" s="8"/>
      <c r="F254" s="8"/>
      <c r="G254" s="19"/>
      <c r="H254" s="19"/>
      <c r="I254" s="19"/>
    </row>
    <row r="255" spans="1:9" x14ac:dyDescent="0.25">
      <c r="A255" s="19"/>
      <c r="B255" s="19"/>
      <c r="C255" s="8"/>
      <c r="D255" s="8"/>
      <c r="E255" s="8"/>
      <c r="F255" s="8"/>
      <c r="G255" s="19"/>
      <c r="H255" s="19"/>
      <c r="I255" s="19"/>
    </row>
    <row r="256" spans="1:9" x14ac:dyDescent="0.25">
      <c r="A256" s="31"/>
      <c r="B256" s="19"/>
      <c r="C256" s="8"/>
      <c r="D256" s="8"/>
      <c r="E256" s="8"/>
      <c r="F256" s="8"/>
      <c r="G256" s="19"/>
      <c r="H256" s="19"/>
      <c r="I256" s="19"/>
    </row>
    <row r="257" spans="1:9" x14ac:dyDescent="0.25">
      <c r="A257" s="19"/>
      <c r="B257" s="19"/>
      <c r="C257" s="8"/>
      <c r="D257" s="8"/>
      <c r="E257" s="8"/>
      <c r="F257" s="8"/>
      <c r="G257" s="19"/>
      <c r="H257" s="19"/>
      <c r="I257" s="19"/>
    </row>
    <row r="258" spans="1:9" x14ac:dyDescent="0.25">
      <c r="A258" s="19"/>
      <c r="B258" s="19"/>
      <c r="C258" s="8"/>
      <c r="D258" s="8"/>
      <c r="E258" s="8"/>
      <c r="F258" s="8"/>
      <c r="G258" s="19"/>
      <c r="H258" s="19"/>
      <c r="I258" s="19"/>
    </row>
    <row r="259" spans="1:9" x14ac:dyDescent="0.25">
      <c r="A259" s="19"/>
      <c r="B259" s="19"/>
      <c r="C259" s="8"/>
      <c r="D259" s="8"/>
      <c r="E259" s="8"/>
      <c r="F259" s="8"/>
      <c r="G259" s="19"/>
      <c r="H259" s="19"/>
      <c r="I259" s="19"/>
    </row>
    <row r="260" spans="1:9" x14ac:dyDescent="0.25">
      <c r="A260" s="19"/>
      <c r="B260" s="19"/>
      <c r="C260" s="8"/>
      <c r="D260" s="8"/>
      <c r="E260" s="8"/>
      <c r="F260" s="8"/>
      <c r="G260" s="19"/>
      <c r="H260" s="19"/>
      <c r="I260" s="19"/>
    </row>
    <row r="261" spans="1:9" x14ac:dyDescent="0.25">
      <c r="A261" s="19"/>
      <c r="B261" s="19"/>
      <c r="C261" s="8"/>
      <c r="D261" s="8"/>
      <c r="E261" s="8"/>
      <c r="F261" s="8"/>
      <c r="G261" s="19"/>
      <c r="H261" s="19"/>
      <c r="I261" s="19"/>
    </row>
    <row r="262" spans="1:9" x14ac:dyDescent="0.25">
      <c r="A262" s="19"/>
      <c r="B262" s="19"/>
      <c r="C262" s="8"/>
      <c r="D262" s="8"/>
      <c r="E262" s="8"/>
      <c r="F262" s="8"/>
      <c r="G262" s="19"/>
      <c r="H262" s="19"/>
      <c r="I262" s="19"/>
    </row>
    <row r="263" spans="1:9" x14ac:dyDescent="0.25">
      <c r="A263" s="19"/>
      <c r="B263" s="19"/>
      <c r="C263" s="8"/>
      <c r="D263" s="8"/>
      <c r="E263" s="8"/>
      <c r="F263" s="8"/>
      <c r="G263" s="19"/>
      <c r="H263" s="19"/>
      <c r="I263" s="19"/>
    </row>
    <row r="264" spans="1:9" x14ac:dyDescent="0.25">
      <c r="A264" s="19"/>
      <c r="B264" s="19"/>
      <c r="C264" s="8"/>
      <c r="D264" s="8"/>
      <c r="E264" s="8"/>
      <c r="F264" s="8"/>
      <c r="G264" s="19"/>
      <c r="H264" s="19"/>
      <c r="I264" s="19"/>
    </row>
    <row r="265" spans="1:9" x14ac:dyDescent="0.25">
      <c r="A265" s="19"/>
      <c r="B265" s="19"/>
      <c r="C265" s="8"/>
      <c r="D265" s="8"/>
      <c r="E265" s="8"/>
      <c r="F265" s="8"/>
      <c r="G265" s="19"/>
      <c r="H265" s="19"/>
      <c r="I265" s="19"/>
    </row>
    <row r="266" spans="1:9" x14ac:dyDescent="0.25">
      <c r="A266" s="19"/>
      <c r="B266" s="19"/>
      <c r="C266" s="8"/>
      <c r="D266" s="8"/>
      <c r="E266" s="8"/>
      <c r="F266" s="8"/>
      <c r="G266" s="19"/>
      <c r="H266" s="19"/>
      <c r="I266" s="19"/>
    </row>
    <row r="267" spans="1:9" x14ac:dyDescent="0.25">
      <c r="A267" s="19"/>
      <c r="B267" s="19"/>
      <c r="C267" s="8"/>
      <c r="D267" s="8"/>
      <c r="E267" s="8"/>
      <c r="F267" s="8"/>
      <c r="G267" s="19"/>
      <c r="H267" s="19"/>
      <c r="I267" s="19"/>
    </row>
    <row r="268" spans="1:9" x14ac:dyDescent="0.25">
      <c r="A268" s="19"/>
      <c r="B268" s="19"/>
      <c r="C268" s="8"/>
      <c r="D268" s="8"/>
      <c r="E268" s="8"/>
      <c r="F268" s="8"/>
      <c r="G268" s="8"/>
      <c r="H268" s="19"/>
      <c r="I268" s="19"/>
    </row>
    <row r="269" spans="1:9" x14ac:dyDescent="0.25">
      <c r="A269" s="19"/>
      <c r="B269" s="19"/>
      <c r="C269" s="8"/>
      <c r="D269" s="8"/>
      <c r="E269" s="8"/>
      <c r="F269" s="8"/>
      <c r="G269" s="19"/>
      <c r="H269" s="19"/>
      <c r="I269" s="19"/>
    </row>
    <row r="270" spans="1:9" x14ac:dyDescent="0.25">
      <c r="A270" s="19"/>
      <c r="B270" s="19"/>
      <c r="C270" s="8"/>
      <c r="D270" s="8"/>
      <c r="E270" s="8"/>
      <c r="F270" s="8"/>
      <c r="G270" s="19"/>
      <c r="H270" s="19"/>
      <c r="I270" s="19"/>
    </row>
    <row r="271" spans="1:9" x14ac:dyDescent="0.25">
      <c r="A271" s="19"/>
      <c r="B271" s="19"/>
      <c r="C271" s="8"/>
      <c r="D271" s="8"/>
      <c r="E271" s="8"/>
      <c r="F271" s="8"/>
      <c r="G271" s="19"/>
      <c r="H271" s="19"/>
      <c r="I271" s="19"/>
    </row>
    <row r="272" spans="1:9" x14ac:dyDescent="0.25">
      <c r="A272" s="19"/>
      <c r="B272" s="19"/>
      <c r="C272" s="8"/>
      <c r="D272" s="8"/>
      <c r="E272" s="8"/>
      <c r="F272" s="8"/>
      <c r="G272" s="19"/>
      <c r="H272" s="19"/>
      <c r="I272" s="19"/>
    </row>
    <row r="273" spans="1:9" x14ac:dyDescent="0.25">
      <c r="A273" s="19"/>
      <c r="B273" s="19"/>
      <c r="C273" s="8"/>
      <c r="D273" s="8"/>
      <c r="E273" s="8"/>
      <c r="F273" s="8"/>
      <c r="G273" s="19"/>
      <c r="H273" s="19"/>
      <c r="I273" s="19"/>
    </row>
    <row r="274" spans="1:9" x14ac:dyDescent="0.25">
      <c r="A274" s="19"/>
      <c r="B274" s="19"/>
      <c r="C274" s="8"/>
      <c r="D274" s="19"/>
      <c r="E274" s="19"/>
      <c r="F274" s="19"/>
      <c r="G274" s="19"/>
      <c r="H274" s="19"/>
      <c r="I274" s="19"/>
    </row>
    <row r="275" spans="1:9" x14ac:dyDescent="0.25">
      <c r="C275" s="4"/>
    </row>
  </sheetData>
  <mergeCells count="10">
    <mergeCell ref="A13:D13"/>
    <mergeCell ref="A25:D25"/>
    <mergeCell ref="A30:D30"/>
    <mergeCell ref="A35:D35"/>
    <mergeCell ref="A54:D54"/>
    <mergeCell ref="A73:D73"/>
    <mergeCell ref="A83:D83"/>
    <mergeCell ref="A99:D99"/>
    <mergeCell ref="A91:D91"/>
    <mergeCell ref="A95:D95"/>
  </mergeCells>
  <dataValidations count="1">
    <dataValidation type="list" allowBlank="1" showInputMessage="1" showErrorMessage="1" sqref="J2 C6 J7:J8" xr:uid="{00000000-0002-0000-0200-000000000000}">
      <formula1>$F$4:$F$5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ompare_DOC">
                <anchor moveWithCells="1" sizeWithCells="1">
                  <from>
                    <xdr:col>5</xdr:col>
                    <xdr:colOff>971550</xdr:colOff>
                    <xdr:row>134</xdr:row>
                    <xdr:rowOff>171450</xdr:rowOff>
                  </from>
                  <to>
                    <xdr:col>8</xdr:col>
                    <xdr:colOff>209550</xdr:colOff>
                    <xdr:row>141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E36712-19FF-41EE-8899-DE116A4E1D9E}">
          <x14:formula1>
            <xm:f>Inputs_Outputs!$C$76:$K$76</xm:f>
          </x14:formula1>
          <xm:sqref>B136:E136</xm:sqref>
        </x14:dataValidation>
        <x14:dataValidation type="list" allowBlank="1" showInputMessage="1" showErrorMessage="1" xr:uid="{518B9036-B58E-4F5C-961B-4E921E180F99}">
          <x14:formula1>
            <xm:f>Inputs_Outputs!$B$77:$B$96</xm:f>
          </x14:formula1>
          <xm:sqref>B137:E137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93"/>
  <sheetViews>
    <sheetView zoomScale="90" zoomScaleNormal="90" workbookViewId="0">
      <selection activeCell="A2" sqref="A2"/>
    </sheetView>
  </sheetViews>
  <sheetFormatPr baseColWidth="10" defaultColWidth="9.140625" defaultRowHeight="15" x14ac:dyDescent="0.25"/>
  <cols>
    <col min="1" max="1" width="33.28515625" customWidth="1"/>
    <col min="2" max="2" width="14.85546875" bestFit="1" customWidth="1"/>
    <col min="3" max="3" width="10.85546875" customWidth="1"/>
    <col min="4" max="4" width="12.42578125" customWidth="1"/>
    <col min="5" max="5" width="12.140625" bestFit="1" customWidth="1"/>
    <col min="6" max="6" width="13" bestFit="1" customWidth="1"/>
    <col min="8" max="8" width="13.140625" bestFit="1" customWidth="1"/>
  </cols>
  <sheetData>
    <row r="1" spans="1:12" x14ac:dyDescent="0.25">
      <c r="A1" s="100" t="s">
        <v>361</v>
      </c>
      <c r="B1" s="100"/>
      <c r="C1" s="100"/>
      <c r="D1" s="100"/>
      <c r="E1" s="100"/>
      <c r="F1" s="100"/>
      <c r="G1" s="100"/>
      <c r="H1" s="100"/>
      <c r="I1" s="100"/>
      <c r="J1" s="58"/>
      <c r="K1" s="58"/>
      <c r="L1" s="58"/>
    </row>
    <row r="2" spans="1:12" x14ac:dyDescent="0.25">
      <c r="J2" s="19"/>
      <c r="K2" s="19"/>
      <c r="L2" s="19"/>
    </row>
    <row r="3" spans="1:12" x14ac:dyDescent="0.25">
      <c r="A3" s="53" t="s">
        <v>359</v>
      </c>
      <c r="B3" s="27"/>
      <c r="C3" s="27"/>
      <c r="D3" s="27"/>
      <c r="E3" s="27"/>
      <c r="F3" s="27"/>
      <c r="G3" s="27"/>
      <c r="H3" s="27"/>
      <c r="I3" s="27"/>
      <c r="J3" s="19"/>
      <c r="K3" s="19"/>
      <c r="L3" s="19"/>
    </row>
    <row r="4" spans="1:12" x14ac:dyDescent="0.25">
      <c r="A4" s="27"/>
      <c r="B4" s="27"/>
      <c r="C4" s="27"/>
      <c r="D4" s="27"/>
      <c r="E4" s="27"/>
      <c r="F4" s="27"/>
      <c r="G4" s="27"/>
      <c r="H4" s="27"/>
      <c r="I4" s="27"/>
      <c r="J4" s="19"/>
      <c r="K4" s="19"/>
      <c r="L4" s="19"/>
    </row>
    <row r="5" spans="1:12" x14ac:dyDescent="0.25">
      <c r="A5" s="27" t="s">
        <v>363</v>
      </c>
      <c r="B5" s="27"/>
      <c r="C5" s="27"/>
      <c r="D5" s="27"/>
      <c r="E5" s="27"/>
      <c r="F5" s="27"/>
      <c r="G5" s="27"/>
      <c r="H5" s="27"/>
      <c r="I5" s="27"/>
      <c r="J5" s="19"/>
      <c r="K5" s="19"/>
      <c r="L5" s="19"/>
    </row>
    <row r="6" spans="1:12" ht="15.75" x14ac:dyDescent="0.25">
      <c r="A6" s="57" t="s">
        <v>364</v>
      </c>
      <c r="B6" s="27"/>
      <c r="C6" s="27"/>
      <c r="D6" s="27"/>
      <c r="E6" s="27"/>
      <c r="F6" s="27"/>
      <c r="G6" s="27"/>
      <c r="H6" s="27"/>
      <c r="I6" s="27"/>
      <c r="J6" s="19"/>
      <c r="K6" s="19"/>
      <c r="L6" s="19"/>
    </row>
    <row r="7" spans="1:12" x14ac:dyDescent="0.25">
      <c r="A7" s="27" t="s">
        <v>454</v>
      </c>
      <c r="B7" s="27"/>
      <c r="C7" s="27"/>
      <c r="D7" s="27"/>
      <c r="E7" s="27"/>
      <c r="F7" s="27"/>
      <c r="G7" s="27"/>
      <c r="H7" s="27"/>
      <c r="I7" s="27"/>
      <c r="J7" s="19"/>
      <c r="K7" s="19"/>
      <c r="L7" s="19"/>
    </row>
    <row r="8" spans="1:12" x14ac:dyDescent="0.25">
      <c r="J8" s="19"/>
      <c r="K8" s="19"/>
      <c r="L8" s="19"/>
    </row>
    <row r="9" spans="1:12" x14ac:dyDescent="0.25">
      <c r="A9" s="100" t="s">
        <v>215</v>
      </c>
      <c r="B9" s="100"/>
      <c r="C9" s="100"/>
      <c r="D9" s="100"/>
      <c r="E9" s="100"/>
      <c r="F9" s="100"/>
      <c r="G9" s="100"/>
      <c r="H9" s="100"/>
      <c r="I9" s="100"/>
      <c r="J9" s="58"/>
      <c r="K9" s="58"/>
      <c r="L9" s="58"/>
    </row>
    <row r="10" spans="1:12" x14ac:dyDescent="0.25">
      <c r="A10" t="s">
        <v>198</v>
      </c>
    </row>
    <row r="11" spans="1:12" x14ac:dyDescent="0.25">
      <c r="A11" t="s">
        <v>262</v>
      </c>
      <c r="B11" t="s">
        <v>260</v>
      </c>
      <c r="C11" t="s">
        <v>187</v>
      </c>
      <c r="D11" t="s">
        <v>261</v>
      </c>
      <c r="E11" t="s">
        <v>188</v>
      </c>
    </row>
    <row r="12" spans="1:12" x14ac:dyDescent="0.25">
      <c r="A12" t="s">
        <v>189</v>
      </c>
      <c r="B12" s="50">
        <v>1.1659999999999999</v>
      </c>
      <c r="C12" s="27">
        <v>1.01</v>
      </c>
      <c r="D12">
        <f>B12*C12</f>
        <v>1.1776599999999999</v>
      </c>
      <c r="E12" s="50">
        <v>28.7</v>
      </c>
    </row>
    <row r="13" spans="1:12" x14ac:dyDescent="0.25">
      <c r="A13" t="s">
        <v>190</v>
      </c>
      <c r="B13" s="50">
        <v>0.96099999999999997</v>
      </c>
      <c r="C13" s="27">
        <v>1.0129999999999999</v>
      </c>
      <c r="D13">
        <f>B13*C13</f>
        <v>0.97349299999999983</v>
      </c>
      <c r="E13" s="50">
        <v>23.3</v>
      </c>
    </row>
    <row r="14" spans="1:12" x14ac:dyDescent="0.25">
      <c r="A14" t="s">
        <v>191</v>
      </c>
      <c r="B14" s="50">
        <v>0.32600000000000001</v>
      </c>
      <c r="C14" s="27">
        <v>1.02</v>
      </c>
      <c r="D14">
        <f>B14*C14</f>
        <v>0.33252000000000004</v>
      </c>
      <c r="E14" s="50">
        <v>10</v>
      </c>
    </row>
    <row r="15" spans="1:12" x14ac:dyDescent="0.25">
      <c r="A15" t="s">
        <v>192</v>
      </c>
      <c r="B15" s="50">
        <v>0.107</v>
      </c>
      <c r="C15" s="27">
        <v>1.1000000000000001</v>
      </c>
      <c r="D15">
        <f>B15*C15</f>
        <v>0.11770000000000001</v>
      </c>
      <c r="E15" s="50">
        <v>4.3</v>
      </c>
    </row>
    <row r="24" spans="6:17" s="19" customFormat="1" x14ac:dyDescent="0.25">
      <c r="F24"/>
      <c r="G24"/>
      <c r="H24"/>
      <c r="I24"/>
      <c r="J24"/>
      <c r="K24"/>
      <c r="L24"/>
      <c r="M24"/>
      <c r="N24"/>
      <c r="O24"/>
      <c r="P24"/>
      <c r="Q24"/>
    </row>
    <row r="33" spans="1:5" x14ac:dyDescent="0.25">
      <c r="A33" s="55" t="s">
        <v>243</v>
      </c>
      <c r="B33" s="55" t="s">
        <v>244</v>
      </c>
      <c r="C33" s="55" t="s">
        <v>245</v>
      </c>
      <c r="D33" s="55" t="s">
        <v>246</v>
      </c>
      <c r="E33" s="55" t="s">
        <v>247</v>
      </c>
    </row>
    <row r="35" spans="1:5" x14ac:dyDescent="0.25">
      <c r="A35" t="s">
        <v>40</v>
      </c>
      <c r="B35" t="s">
        <v>181</v>
      </c>
      <c r="C35" s="4" t="e">
        <f>fuel_km</f>
        <v>#VALUE!</v>
      </c>
      <c r="D35" t="s">
        <v>173</v>
      </c>
    </row>
    <row r="36" spans="1:5" x14ac:dyDescent="0.25">
      <c r="A36" t="s">
        <v>365</v>
      </c>
      <c r="B36" t="s">
        <v>182</v>
      </c>
      <c r="C36" s="4">
        <f>M*a_sound/1000</f>
        <v>0.26556260429190703</v>
      </c>
      <c r="D36" t="s">
        <v>183</v>
      </c>
    </row>
    <row r="37" spans="1:5" x14ac:dyDescent="0.25">
      <c r="A37" t="s">
        <v>366</v>
      </c>
      <c r="B37" t="s">
        <v>464</v>
      </c>
      <c r="C37" s="4" t="e">
        <f>C35*C36</f>
        <v>#VALUE!</v>
      </c>
      <c r="D37" t="s">
        <v>184</v>
      </c>
    </row>
    <row r="39" spans="1:5" x14ac:dyDescent="0.25">
      <c r="A39" t="s">
        <v>252</v>
      </c>
      <c r="B39" t="s">
        <v>18</v>
      </c>
      <c r="C39">
        <f>H</f>
        <v>12500</v>
      </c>
      <c r="D39" t="s">
        <v>24</v>
      </c>
    </row>
    <row r="40" spans="1:5" x14ac:dyDescent="0.25">
      <c r="A40" t="s">
        <v>367</v>
      </c>
      <c r="B40" t="s">
        <v>185</v>
      </c>
      <c r="C40" s="37">
        <f>p/p0</f>
        <v>0.17650660224157833</v>
      </c>
    </row>
    <row r="41" spans="1:5" x14ac:dyDescent="0.25">
      <c r="A41" t="s">
        <v>368</v>
      </c>
      <c r="B41" t="s">
        <v>186</v>
      </c>
      <c r="C41" s="37">
        <f>T/T0</f>
        <v>0.75186534790907522</v>
      </c>
    </row>
    <row r="42" spans="1:5" x14ac:dyDescent="0.25">
      <c r="C42" s="37"/>
    </row>
    <row r="43" spans="1:5" x14ac:dyDescent="0.25">
      <c r="A43" t="s">
        <v>369</v>
      </c>
      <c r="B43" t="s">
        <v>465</v>
      </c>
      <c r="C43" s="46" t="e">
        <f>(C37/C40)*((C41^3.8)*EXP(0.2*(M^2)))</f>
        <v>#VALUE!</v>
      </c>
      <c r="D43" t="s">
        <v>184</v>
      </c>
    </row>
    <row r="44" spans="1:5" x14ac:dyDescent="0.25">
      <c r="C44" s="37"/>
    </row>
    <row r="45" spans="1:5" x14ac:dyDescent="0.25">
      <c r="A45" t="s">
        <v>370</v>
      </c>
      <c r="B45" t="s">
        <v>371</v>
      </c>
      <c r="C45" s="68" t="e">
        <f>22.412*C43+1.9994</f>
        <v>#VALUE!</v>
      </c>
      <c r="D45" t="s">
        <v>197</v>
      </c>
      <c r="E45" s="73" t="s">
        <v>360</v>
      </c>
    </row>
    <row r="46" spans="1:5" x14ac:dyDescent="0.25">
      <c r="A46" t="s">
        <v>402</v>
      </c>
      <c r="B46" t="s">
        <v>193</v>
      </c>
      <c r="C46" s="14">
        <f>7.90298*(1-(373.16/(T+0.01)))+0.00571+5.02808*LOG10(373.16/(T+0.01))+0.00000013816*(1-10^(11.344*(1-((T+0.01)/373.16))))+0.0081328*(10^(3.49149*(1-(373.16/(T+0.01))))-1)</f>
        <v>-4.5316512094768235</v>
      </c>
    </row>
    <row r="47" spans="1:5" x14ac:dyDescent="0.25">
      <c r="A47" t="s">
        <v>403</v>
      </c>
      <c r="B47" t="s">
        <v>195</v>
      </c>
      <c r="C47" s="14">
        <f>6895*0.014504*10^C46</f>
        <v>2.9401592368865485E-3</v>
      </c>
    </row>
    <row r="48" spans="1:5" x14ac:dyDescent="0.25">
      <c r="A48" t="s">
        <v>372</v>
      </c>
      <c r="B48" t="s">
        <v>196</v>
      </c>
      <c r="C48" s="14">
        <f>-19*((0.37318*C47)/(p-0.6*C47)-0.0063)</f>
        <v>0.11969883435772723</v>
      </c>
    </row>
    <row r="50" spans="1:12" x14ac:dyDescent="0.25">
      <c r="A50" t="s">
        <v>373</v>
      </c>
      <c r="B50" t="s">
        <v>170</v>
      </c>
      <c r="C50" s="86" t="e">
        <f>C45*EXP(C48)*((C40^1.02)/(C41^3.3))^0.5</f>
        <v>#VALUE!</v>
      </c>
      <c r="D50" t="s">
        <v>197</v>
      </c>
    </row>
    <row r="51" spans="1:12" x14ac:dyDescent="0.25">
      <c r="C51" s="87" t="e">
        <f>EI_NOx/1000</f>
        <v>#VALUE!</v>
      </c>
      <c r="D51" t="s">
        <v>171</v>
      </c>
    </row>
    <row r="53" spans="1:12" x14ac:dyDescent="0.25">
      <c r="A53" s="100" t="s">
        <v>362</v>
      </c>
      <c r="B53" s="100"/>
      <c r="C53" s="100"/>
      <c r="D53" s="100"/>
      <c r="E53" s="100"/>
      <c r="F53" s="100"/>
      <c r="G53" s="100"/>
      <c r="H53" s="100"/>
      <c r="I53" s="100"/>
    </row>
    <row r="54" spans="1:12" x14ac:dyDescent="0.25">
      <c r="A54" t="s">
        <v>374</v>
      </c>
      <c r="B54" s="38" t="s">
        <v>240</v>
      </c>
      <c r="C54">
        <v>3.16</v>
      </c>
      <c r="D54" t="s">
        <v>171</v>
      </c>
    </row>
    <row r="55" spans="1:12" x14ac:dyDescent="0.25">
      <c r="A55" t="s">
        <v>383</v>
      </c>
      <c r="B55" t="s">
        <v>120</v>
      </c>
      <c r="C55" s="59" t="e">
        <f>fuel_km*range</f>
        <v>#VALUE!</v>
      </c>
      <c r="D55" t="s">
        <v>16</v>
      </c>
    </row>
    <row r="56" spans="1:12" x14ac:dyDescent="0.25">
      <c r="A56" s="39" t="s">
        <v>358</v>
      </c>
      <c r="B56" t="s">
        <v>379</v>
      </c>
      <c r="C56" s="26" t="e">
        <f>C54*C55</f>
        <v>#VALUE!</v>
      </c>
      <c r="D56" t="s">
        <v>16</v>
      </c>
    </row>
    <row r="57" spans="1:12" x14ac:dyDescent="0.25">
      <c r="C57" s="4" t="e">
        <f>C56/n_PAX</f>
        <v>#VALUE!</v>
      </c>
      <c r="D57" t="s">
        <v>172</v>
      </c>
      <c r="J57" s="58"/>
      <c r="K57" s="58"/>
      <c r="L57" s="58"/>
    </row>
    <row r="59" spans="1:12" x14ac:dyDescent="0.25">
      <c r="A59" t="s">
        <v>375</v>
      </c>
      <c r="B59" t="s">
        <v>18</v>
      </c>
      <c r="C59" s="59">
        <f>Hft</f>
        <v>41010.49868766404</v>
      </c>
      <c r="D59" t="s">
        <v>25</v>
      </c>
    </row>
    <row r="60" spans="1:12" x14ac:dyDescent="0.25">
      <c r="A60" t="s">
        <v>380</v>
      </c>
      <c r="B60" t="s">
        <v>376</v>
      </c>
      <c r="C60" s="4">
        <f>IF(C59&lt;17470.3,0,'Extra information'!B12)</f>
        <v>0.84000555384034292</v>
      </c>
      <c r="E60" s="40" t="s">
        <v>496</v>
      </c>
    </row>
    <row r="61" spans="1:12" x14ac:dyDescent="0.25">
      <c r="A61" t="s">
        <v>381</v>
      </c>
      <c r="B61" t="s">
        <v>377</v>
      </c>
      <c r="C61" s="4">
        <f>'Extra information'!E12</f>
        <v>1.8970327838725769</v>
      </c>
    </row>
    <row r="62" spans="1:12" x14ac:dyDescent="0.25">
      <c r="A62" t="s">
        <v>382</v>
      </c>
      <c r="B62" t="s">
        <v>378</v>
      </c>
      <c r="C62" s="4">
        <f>'Extra information'!H12</f>
        <v>1.2034100000000001</v>
      </c>
    </row>
    <row r="64" spans="1:12" x14ac:dyDescent="0.25">
      <c r="A64" s="38" t="s">
        <v>424</v>
      </c>
      <c r="B64" t="s">
        <v>205</v>
      </c>
      <c r="C64" s="46">
        <f>(0.00000000000797/0.0000000000000358)*C61+(-0.000000000000914/0.0000000000000358)*C62+(-0.0000000000039/0.0000000000000358)*C62</f>
        <v>260.50657953811276</v>
      </c>
    </row>
    <row r="65" spans="1:11" x14ac:dyDescent="0.25">
      <c r="A65" t="s">
        <v>425</v>
      </c>
      <c r="B65" t="s">
        <v>204</v>
      </c>
      <c r="C65" s="46">
        <f>(0.000000000000254/0.0000000000000358)*C60+(0.000000000000763/0.0000000000000358)*C60</f>
        <v>23.862727604905828</v>
      </c>
    </row>
    <row r="66" spans="1:11" x14ac:dyDescent="0.25">
      <c r="K66" s="2"/>
    </row>
    <row r="67" spans="1:11" x14ac:dyDescent="0.25">
      <c r="H67" s="77"/>
    </row>
    <row r="68" spans="1:11" x14ac:dyDescent="0.25">
      <c r="A68" t="s">
        <v>466</v>
      </c>
      <c r="B68" s="39" t="s">
        <v>384</v>
      </c>
      <c r="C68" s="28" t="e">
        <f>3.15*fuel_mile/n_PAX+C51*CF_NOx*fuel_mile/n_PAX+CF_AIC/n_PAX</f>
        <v>#VALUE!</v>
      </c>
      <c r="D68" t="s">
        <v>423</v>
      </c>
      <c r="I68" s="77"/>
    </row>
    <row r="69" spans="1:11" x14ac:dyDescent="0.25">
      <c r="C69" s="4" t="e">
        <f>C68*range_mile</f>
        <v>#VALUE!</v>
      </c>
      <c r="D69" t="s">
        <v>172</v>
      </c>
    </row>
    <row r="70" spans="1:11" x14ac:dyDescent="0.25">
      <c r="C70" s="4" t="e">
        <f>C68*n_PAX</f>
        <v>#VALUE!</v>
      </c>
      <c r="D70" t="s">
        <v>406</v>
      </c>
    </row>
    <row r="71" spans="1:11" x14ac:dyDescent="0.25">
      <c r="C71" s="4" t="e">
        <f>C70*range_mile</f>
        <v>#VALUE!</v>
      </c>
      <c r="D71" t="s">
        <v>16</v>
      </c>
    </row>
    <row r="73" spans="1:11" x14ac:dyDescent="0.25">
      <c r="E73" s="19"/>
      <c r="F73" s="19"/>
      <c r="I73" s="19"/>
    </row>
    <row r="74" spans="1:11" x14ac:dyDescent="0.25">
      <c r="A74" s="100" t="s">
        <v>451</v>
      </c>
      <c r="B74" s="100"/>
      <c r="C74" s="100"/>
      <c r="D74" s="100"/>
      <c r="E74" s="100"/>
      <c r="F74" s="100"/>
      <c r="G74" s="100"/>
      <c r="H74" s="100"/>
      <c r="I74" s="100"/>
    </row>
    <row r="76" spans="1:11" x14ac:dyDescent="0.25">
      <c r="A76" s="78" t="s">
        <v>450</v>
      </c>
      <c r="B76" t="e">
        <f>3.15*fuel_mile/n_PAX</f>
        <v>#VALUE!</v>
      </c>
      <c r="C76" s="76" t="e">
        <f>B76/C68</f>
        <v>#VALUE!</v>
      </c>
    </row>
    <row r="77" spans="1:11" x14ac:dyDescent="0.25">
      <c r="A77" t="s">
        <v>446</v>
      </c>
      <c r="B77" t="e">
        <f>C51*CF_NOx*fuel_mile/n_PAX</f>
        <v>#VALUE!</v>
      </c>
      <c r="C77" s="77" t="e">
        <f>B77/C68</f>
        <v>#VALUE!</v>
      </c>
    </row>
    <row r="78" spans="1:11" x14ac:dyDescent="0.25">
      <c r="A78" t="s">
        <v>160</v>
      </c>
      <c r="B78">
        <f>C65/n_PAX</f>
        <v>0.1590848506993722</v>
      </c>
      <c r="C78" s="77" t="e">
        <f>B78/C68</f>
        <v>#VALUE!</v>
      </c>
    </row>
    <row r="80" spans="1:11" x14ac:dyDescent="0.25">
      <c r="A80" t="s">
        <v>478</v>
      </c>
      <c r="B80" t="s">
        <v>199</v>
      </c>
      <c r="C80" t="s">
        <v>200</v>
      </c>
      <c r="D80" s="19" t="s">
        <v>201</v>
      </c>
      <c r="E80" s="19" t="s">
        <v>202</v>
      </c>
    </row>
    <row r="81" spans="1:9" x14ac:dyDescent="0.25">
      <c r="A81" t="s">
        <v>17</v>
      </c>
      <c r="B81">
        <v>0.55000000000000004</v>
      </c>
      <c r="C81">
        <v>0.8</v>
      </c>
      <c r="D81">
        <v>0.5</v>
      </c>
      <c r="E81">
        <v>0.75</v>
      </c>
      <c r="I81" s="19"/>
    </row>
    <row r="82" spans="1:9" x14ac:dyDescent="0.25">
      <c r="A82" t="s">
        <v>448</v>
      </c>
      <c r="B82">
        <v>5000</v>
      </c>
      <c r="C82">
        <v>4000</v>
      </c>
      <c r="D82">
        <v>10000</v>
      </c>
      <c r="E82">
        <v>11000</v>
      </c>
      <c r="F82" s="19"/>
      <c r="G82" s="19"/>
      <c r="H82" s="19"/>
    </row>
    <row r="83" spans="1:9" x14ac:dyDescent="0.25">
      <c r="A83" t="s">
        <v>445</v>
      </c>
      <c r="B83" s="77">
        <v>1.0632858819171978</v>
      </c>
      <c r="C83" s="77">
        <v>1.1429154054871504</v>
      </c>
      <c r="D83" s="77">
        <v>0.2489752634420275</v>
      </c>
      <c r="E83" s="77">
        <v>0.19152099522915295</v>
      </c>
    </row>
    <row r="84" spans="1:9" x14ac:dyDescent="0.25">
      <c r="A84" t="s">
        <v>446</v>
      </c>
      <c r="B84" s="77">
        <v>-6.3285881917197681E-2</v>
      </c>
      <c r="C84" s="77">
        <v>-0.14291540548715048</v>
      </c>
      <c r="D84" s="77">
        <v>0.18023333491468507</v>
      </c>
      <c r="E84" s="77">
        <v>0.22456653128182125</v>
      </c>
    </row>
    <row r="85" spans="1:9" x14ac:dyDescent="0.25">
      <c r="A85" t="s">
        <v>160</v>
      </c>
      <c r="B85" s="77">
        <v>0</v>
      </c>
      <c r="C85" s="77">
        <v>0</v>
      </c>
      <c r="D85" s="77">
        <v>0.57079140164328734</v>
      </c>
      <c r="E85" s="77">
        <v>0.58391247348902575</v>
      </c>
    </row>
    <row r="93" spans="1:9" s="19" customFormat="1" x14ac:dyDescent="0.25"/>
  </sheetData>
  <mergeCells count="4">
    <mergeCell ref="A9:I9"/>
    <mergeCell ref="A1:I1"/>
    <mergeCell ref="A53:I53"/>
    <mergeCell ref="A74:I7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mpare_CO2eq">
                <anchor moveWithCells="1" sizeWithCells="1">
                  <from>
                    <xdr:col>6</xdr:col>
                    <xdr:colOff>0</xdr:colOff>
                    <xdr:row>79</xdr:row>
                    <xdr:rowOff>0</xdr:rowOff>
                  </from>
                  <to>
                    <xdr:col>9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1CDCCB-EB81-4CC4-9B13-832C489891E6}">
          <x14:formula1>
            <xm:f>Inputs_Outputs!$C$101:$M$101</xm:f>
          </x14:formula1>
          <xm:sqref>B81:E81</xm:sqref>
        </x14:dataValidation>
        <x14:dataValidation type="list" allowBlank="1" showInputMessage="1" showErrorMessage="1" xr:uid="{A0C47F80-5724-46A9-9BEA-0F5307E7A172}">
          <x14:formula1>
            <xm:f>Inputs_Outputs!$B$102:$B$121</xm:f>
          </x14:formula1>
          <xm:sqref>B82:E82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S170"/>
  <sheetViews>
    <sheetView zoomScale="90" zoomScaleNormal="90" workbookViewId="0">
      <selection activeCell="A2" sqref="A2"/>
    </sheetView>
  </sheetViews>
  <sheetFormatPr baseColWidth="10" defaultColWidth="9.140625" defaultRowHeight="15" x14ac:dyDescent="0.25"/>
  <cols>
    <col min="1" max="1" width="13.28515625" customWidth="1"/>
    <col min="8" max="8" width="9" style="27"/>
  </cols>
  <sheetData>
    <row r="1" spans="1:7" x14ac:dyDescent="0.25">
      <c r="A1" s="84" t="s">
        <v>476</v>
      </c>
    </row>
    <row r="3" spans="1:7" x14ac:dyDescent="0.25">
      <c r="A3" s="103" t="s">
        <v>455</v>
      </c>
      <c r="B3" s="103"/>
      <c r="C3" s="103"/>
      <c r="E3" s="103" t="s">
        <v>473</v>
      </c>
      <c r="F3" s="103"/>
      <c r="G3" s="103"/>
    </row>
    <row r="4" spans="1:7" x14ac:dyDescent="0.25">
      <c r="A4" t="s">
        <v>470</v>
      </c>
      <c r="B4" t="s">
        <v>449</v>
      </c>
      <c r="C4" t="s">
        <v>471</v>
      </c>
      <c r="E4" t="s">
        <v>470</v>
      </c>
      <c r="F4" t="s">
        <v>449</v>
      </c>
      <c r="G4" t="s">
        <v>472</v>
      </c>
    </row>
    <row r="5" spans="1:7" x14ac:dyDescent="0.25">
      <c r="A5" s="3">
        <v>0</v>
      </c>
      <c r="B5">
        <v>157</v>
      </c>
      <c r="C5">
        <v>2140</v>
      </c>
      <c r="E5" s="3">
        <v>0</v>
      </c>
      <c r="F5">
        <v>142</v>
      </c>
      <c r="G5">
        <v>1100</v>
      </c>
    </row>
    <row r="6" spans="1:7" x14ac:dyDescent="0.25">
      <c r="A6" s="3">
        <v>5</v>
      </c>
      <c r="B6">
        <v>158</v>
      </c>
      <c r="C6">
        <v>2120</v>
      </c>
      <c r="E6" s="3">
        <v>5</v>
      </c>
      <c r="F6">
        <v>143</v>
      </c>
      <c r="G6">
        <v>1100</v>
      </c>
    </row>
    <row r="7" spans="1:7" x14ac:dyDescent="0.25">
      <c r="A7" s="3">
        <v>10</v>
      </c>
      <c r="B7">
        <v>159</v>
      </c>
      <c r="C7">
        <v>2100</v>
      </c>
      <c r="E7" s="3">
        <v>10</v>
      </c>
      <c r="F7">
        <v>149</v>
      </c>
      <c r="G7">
        <v>1100</v>
      </c>
    </row>
    <row r="8" spans="1:7" x14ac:dyDescent="0.25">
      <c r="A8" s="3">
        <v>15</v>
      </c>
      <c r="B8">
        <v>166</v>
      </c>
      <c r="C8">
        <v>2180</v>
      </c>
      <c r="E8" s="3">
        <v>15</v>
      </c>
      <c r="F8">
        <v>160</v>
      </c>
      <c r="G8">
        <v>1100</v>
      </c>
    </row>
    <row r="9" spans="1:7" x14ac:dyDescent="0.25">
      <c r="A9" s="3">
        <v>20</v>
      </c>
      <c r="B9">
        <v>167</v>
      </c>
      <c r="C9">
        <v>2160</v>
      </c>
      <c r="E9" s="3">
        <v>20</v>
      </c>
      <c r="F9">
        <v>192</v>
      </c>
      <c r="G9">
        <v>1150</v>
      </c>
    </row>
    <row r="10" spans="1:7" x14ac:dyDescent="0.25">
      <c r="A10" s="3">
        <v>30</v>
      </c>
      <c r="B10">
        <v>190</v>
      </c>
      <c r="C10">
        <v>2450</v>
      </c>
      <c r="E10" s="3">
        <v>30</v>
      </c>
      <c r="F10">
        <v>230</v>
      </c>
      <c r="G10">
        <v>1330</v>
      </c>
    </row>
    <row r="11" spans="1:7" x14ac:dyDescent="0.25">
      <c r="A11" s="3">
        <v>40</v>
      </c>
      <c r="B11">
        <v>225</v>
      </c>
      <c r="C11">
        <v>2800</v>
      </c>
      <c r="E11" s="3">
        <v>40</v>
      </c>
      <c r="F11">
        <v>233</v>
      </c>
      <c r="G11">
        <v>1340</v>
      </c>
    </row>
    <row r="12" spans="1:7" x14ac:dyDescent="0.25">
      <c r="A12" s="3">
        <v>60</v>
      </c>
      <c r="B12">
        <v>272</v>
      </c>
      <c r="C12">
        <v>3010</v>
      </c>
      <c r="E12" s="3">
        <v>60</v>
      </c>
      <c r="F12">
        <v>240</v>
      </c>
      <c r="G12">
        <v>1370</v>
      </c>
    </row>
    <row r="13" spans="1:7" x14ac:dyDescent="0.25">
      <c r="A13" s="3">
        <v>80</v>
      </c>
      <c r="B13">
        <v>280</v>
      </c>
      <c r="C13">
        <v>2880</v>
      </c>
      <c r="E13" s="3">
        <v>80</v>
      </c>
      <c r="F13">
        <v>280</v>
      </c>
      <c r="G13">
        <v>1640</v>
      </c>
    </row>
    <row r="14" spans="1:7" x14ac:dyDescent="0.25">
      <c r="A14" s="3">
        <v>100</v>
      </c>
      <c r="B14">
        <v>289</v>
      </c>
      <c r="C14">
        <v>2750</v>
      </c>
      <c r="E14" s="3">
        <v>100</v>
      </c>
      <c r="F14">
        <v>289</v>
      </c>
      <c r="G14">
        <v>1680</v>
      </c>
    </row>
    <row r="15" spans="1:7" x14ac:dyDescent="0.25">
      <c r="A15" s="3">
        <v>120</v>
      </c>
      <c r="B15">
        <v>356</v>
      </c>
      <c r="C15">
        <v>2670</v>
      </c>
      <c r="E15" s="3">
        <v>120</v>
      </c>
      <c r="F15">
        <v>356</v>
      </c>
      <c r="G15">
        <v>2310</v>
      </c>
    </row>
    <row r="16" spans="1:7" x14ac:dyDescent="0.25">
      <c r="A16" s="3">
        <v>140</v>
      </c>
      <c r="B16">
        <v>366</v>
      </c>
      <c r="C16">
        <v>2490</v>
      </c>
      <c r="E16" s="3">
        <v>140</v>
      </c>
      <c r="F16">
        <v>366</v>
      </c>
      <c r="G16">
        <v>2340</v>
      </c>
    </row>
    <row r="17" spans="1:7" x14ac:dyDescent="0.25">
      <c r="A17" s="3">
        <v>160</v>
      </c>
      <c r="B17">
        <v>377</v>
      </c>
      <c r="C17">
        <v>2310</v>
      </c>
      <c r="E17" s="3">
        <v>160</v>
      </c>
      <c r="F17">
        <v>377</v>
      </c>
      <c r="G17">
        <v>2370</v>
      </c>
    </row>
    <row r="18" spans="1:7" x14ac:dyDescent="0.25">
      <c r="A18" s="3">
        <v>180</v>
      </c>
      <c r="B18">
        <v>388</v>
      </c>
      <c r="C18">
        <v>2130</v>
      </c>
      <c r="E18" s="3">
        <v>180</v>
      </c>
      <c r="F18">
        <v>388</v>
      </c>
      <c r="G18">
        <v>2400</v>
      </c>
    </row>
    <row r="19" spans="1:7" x14ac:dyDescent="0.25">
      <c r="A19" s="3">
        <v>200</v>
      </c>
      <c r="B19">
        <v>400</v>
      </c>
      <c r="C19">
        <v>1940</v>
      </c>
      <c r="E19" s="3">
        <v>200</v>
      </c>
      <c r="F19">
        <v>400</v>
      </c>
      <c r="G19">
        <v>2740</v>
      </c>
    </row>
    <row r="20" spans="1:7" x14ac:dyDescent="0.25">
      <c r="A20" s="3">
        <v>220</v>
      </c>
      <c r="B20">
        <v>412</v>
      </c>
      <c r="C20">
        <v>1740</v>
      </c>
      <c r="E20" s="3">
        <v>220</v>
      </c>
      <c r="F20">
        <v>412</v>
      </c>
      <c r="G20">
        <v>2760</v>
      </c>
    </row>
    <row r="21" spans="1:7" x14ac:dyDescent="0.25">
      <c r="A21" s="3">
        <v>240</v>
      </c>
      <c r="B21">
        <v>425</v>
      </c>
      <c r="C21">
        <v>1550</v>
      </c>
      <c r="E21" s="3">
        <v>240</v>
      </c>
      <c r="F21">
        <v>425</v>
      </c>
      <c r="G21">
        <v>2770</v>
      </c>
    </row>
    <row r="22" spans="1:7" x14ac:dyDescent="0.25">
      <c r="A22" s="3">
        <v>260</v>
      </c>
      <c r="B22">
        <v>438</v>
      </c>
      <c r="C22">
        <v>1350</v>
      </c>
      <c r="E22" s="3">
        <v>260</v>
      </c>
      <c r="F22">
        <v>438</v>
      </c>
      <c r="G22">
        <v>2780</v>
      </c>
    </row>
    <row r="23" spans="1:7" x14ac:dyDescent="0.25">
      <c r="A23" s="3">
        <v>280</v>
      </c>
      <c r="B23">
        <v>452</v>
      </c>
      <c r="C23">
        <v>1150</v>
      </c>
      <c r="E23" s="3">
        <v>280</v>
      </c>
      <c r="F23">
        <v>452</v>
      </c>
      <c r="G23">
        <v>2790</v>
      </c>
    </row>
    <row r="24" spans="1:7" x14ac:dyDescent="0.25">
      <c r="A24" s="3">
        <v>300</v>
      </c>
      <c r="B24">
        <v>459</v>
      </c>
      <c r="C24">
        <v>1360</v>
      </c>
      <c r="E24" s="3">
        <v>300</v>
      </c>
      <c r="F24">
        <v>459</v>
      </c>
      <c r="G24">
        <v>3830</v>
      </c>
    </row>
    <row r="25" spans="1:7" x14ac:dyDescent="0.25">
      <c r="A25" s="3">
        <v>320</v>
      </c>
      <c r="B25">
        <v>455</v>
      </c>
      <c r="C25">
        <v>1170</v>
      </c>
      <c r="E25" s="3">
        <v>320</v>
      </c>
      <c r="F25">
        <v>455</v>
      </c>
      <c r="G25">
        <v>3620</v>
      </c>
    </row>
    <row r="26" spans="1:7" x14ac:dyDescent="0.25">
      <c r="A26" s="3">
        <v>340</v>
      </c>
      <c r="B26">
        <v>451</v>
      </c>
      <c r="C26">
        <v>970</v>
      </c>
      <c r="E26" s="3">
        <v>340</v>
      </c>
      <c r="F26">
        <v>451</v>
      </c>
      <c r="G26">
        <v>3430</v>
      </c>
    </row>
    <row r="27" spans="1:7" x14ac:dyDescent="0.25">
      <c r="A27" s="3">
        <v>360</v>
      </c>
      <c r="B27">
        <v>447</v>
      </c>
      <c r="C27">
        <v>750</v>
      </c>
      <c r="E27" s="3">
        <v>360</v>
      </c>
      <c r="F27">
        <v>447</v>
      </c>
      <c r="G27">
        <v>3270</v>
      </c>
    </row>
    <row r="28" spans="1:7" x14ac:dyDescent="0.25">
      <c r="A28" s="3">
        <v>380</v>
      </c>
      <c r="B28">
        <v>447</v>
      </c>
      <c r="C28">
        <v>470</v>
      </c>
      <c r="E28" s="3">
        <v>380</v>
      </c>
      <c r="F28">
        <v>447</v>
      </c>
      <c r="G28">
        <v>2910</v>
      </c>
    </row>
    <row r="29" spans="1:7" x14ac:dyDescent="0.25">
      <c r="A29" s="3">
        <v>400</v>
      </c>
      <c r="B29">
        <v>447</v>
      </c>
      <c r="C29">
        <v>240</v>
      </c>
      <c r="E29" s="3">
        <v>400</v>
      </c>
      <c r="F29">
        <v>447</v>
      </c>
      <c r="G29">
        <v>2840</v>
      </c>
    </row>
    <row r="33" spans="1:19" x14ac:dyDescent="0.25">
      <c r="A33" s="84" t="s">
        <v>477</v>
      </c>
    </row>
    <row r="35" spans="1:19" x14ac:dyDescent="0.25">
      <c r="A35" s="103" t="s">
        <v>455</v>
      </c>
      <c r="B35" s="103"/>
      <c r="C35" s="103"/>
      <c r="E35" s="103" t="s">
        <v>473</v>
      </c>
      <c r="F35" s="103"/>
      <c r="G35" s="103"/>
    </row>
    <row r="36" spans="1:19" x14ac:dyDescent="0.25">
      <c r="A36" t="s">
        <v>470</v>
      </c>
      <c r="B36" t="s">
        <v>449</v>
      </c>
      <c r="C36" t="s">
        <v>471</v>
      </c>
      <c r="E36" t="s">
        <v>470</v>
      </c>
      <c r="F36" t="s">
        <v>449</v>
      </c>
      <c r="G36" t="s">
        <v>472</v>
      </c>
    </row>
    <row r="37" spans="1:19" x14ac:dyDescent="0.25">
      <c r="A37" s="3">
        <v>0</v>
      </c>
      <c r="B37">
        <v>158</v>
      </c>
      <c r="C37">
        <v>1600</v>
      </c>
      <c r="E37" s="3">
        <v>0</v>
      </c>
      <c r="F37">
        <v>154</v>
      </c>
      <c r="G37">
        <v>890</v>
      </c>
    </row>
    <row r="38" spans="1:19" x14ac:dyDescent="0.25">
      <c r="A38" s="3">
        <v>5</v>
      </c>
      <c r="B38">
        <v>160</v>
      </c>
      <c r="C38">
        <v>1590</v>
      </c>
      <c r="E38" s="3">
        <v>5</v>
      </c>
      <c r="F38">
        <v>156</v>
      </c>
      <c r="G38">
        <v>900</v>
      </c>
    </row>
    <row r="39" spans="1:19" x14ac:dyDescent="0.25">
      <c r="A39" s="3">
        <v>10</v>
      </c>
      <c r="B39">
        <v>161</v>
      </c>
      <c r="C39">
        <v>1570</v>
      </c>
      <c r="E39" s="3">
        <v>10</v>
      </c>
      <c r="F39">
        <v>162</v>
      </c>
      <c r="G39">
        <v>900</v>
      </c>
    </row>
    <row r="40" spans="1:19" x14ac:dyDescent="0.25">
      <c r="A40" s="3">
        <v>15</v>
      </c>
      <c r="B40">
        <v>167</v>
      </c>
      <c r="C40">
        <v>1630</v>
      </c>
      <c r="E40" s="3">
        <v>15</v>
      </c>
      <c r="F40">
        <v>173</v>
      </c>
      <c r="G40">
        <v>900</v>
      </c>
    </row>
    <row r="41" spans="1:19" x14ac:dyDescent="0.25">
      <c r="A41" s="3">
        <v>20</v>
      </c>
      <c r="B41">
        <v>168</v>
      </c>
      <c r="C41">
        <v>1610</v>
      </c>
      <c r="E41" s="3">
        <v>20</v>
      </c>
      <c r="F41">
        <v>205</v>
      </c>
      <c r="G41">
        <v>960</v>
      </c>
    </row>
    <row r="42" spans="1:19" x14ac:dyDescent="0.25">
      <c r="A42" s="3">
        <v>30</v>
      </c>
      <c r="B42">
        <v>192</v>
      </c>
      <c r="C42">
        <v>1840</v>
      </c>
      <c r="E42" s="3">
        <v>30</v>
      </c>
      <c r="F42">
        <v>230</v>
      </c>
      <c r="G42">
        <v>1050</v>
      </c>
    </row>
    <row r="43" spans="1:19" x14ac:dyDescent="0.25">
      <c r="A43" s="3">
        <v>40</v>
      </c>
      <c r="B43">
        <v>226</v>
      </c>
      <c r="C43">
        <v>2120</v>
      </c>
      <c r="E43" s="3">
        <v>40</v>
      </c>
      <c r="F43">
        <v>233</v>
      </c>
      <c r="G43">
        <v>1060</v>
      </c>
    </row>
    <row r="44" spans="1:19" x14ac:dyDescent="0.25">
      <c r="A44" s="3">
        <v>60</v>
      </c>
      <c r="B44">
        <v>272</v>
      </c>
      <c r="C44">
        <v>2270</v>
      </c>
      <c r="E44" s="3">
        <v>60</v>
      </c>
      <c r="F44">
        <v>240</v>
      </c>
      <c r="G44">
        <v>1090</v>
      </c>
    </row>
    <row r="45" spans="1:19" x14ac:dyDescent="0.25">
      <c r="A45" s="3">
        <v>80</v>
      </c>
      <c r="B45">
        <v>280</v>
      </c>
      <c r="C45">
        <v>2170</v>
      </c>
      <c r="E45" s="3">
        <v>80</v>
      </c>
      <c r="F45">
        <v>280</v>
      </c>
      <c r="G45">
        <v>1300</v>
      </c>
    </row>
    <row r="46" spans="1:19" x14ac:dyDescent="0.25">
      <c r="A46" s="3">
        <v>100</v>
      </c>
      <c r="B46">
        <v>289</v>
      </c>
      <c r="C46">
        <v>2070</v>
      </c>
      <c r="E46" s="3">
        <v>100</v>
      </c>
      <c r="F46">
        <v>289</v>
      </c>
      <c r="G46">
        <v>1330</v>
      </c>
    </row>
    <row r="47" spans="1:19" x14ac:dyDescent="0.25">
      <c r="A47" s="3">
        <v>120</v>
      </c>
      <c r="B47">
        <v>356</v>
      </c>
      <c r="C47">
        <v>2070</v>
      </c>
      <c r="E47" s="3">
        <v>120</v>
      </c>
      <c r="F47">
        <v>356</v>
      </c>
      <c r="G47">
        <v>1830</v>
      </c>
      <c r="J47" t="s">
        <v>494</v>
      </c>
    </row>
    <row r="48" spans="1:19" x14ac:dyDescent="0.25">
      <c r="A48" s="3">
        <v>140</v>
      </c>
      <c r="B48">
        <v>366</v>
      </c>
      <c r="C48">
        <v>1870</v>
      </c>
      <c r="E48" s="3">
        <v>140</v>
      </c>
      <c r="F48">
        <v>366</v>
      </c>
      <c r="G48">
        <v>1860</v>
      </c>
      <c r="K48" s="104" t="s">
        <v>303</v>
      </c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3">
        <v>160</v>
      </c>
      <c r="B49">
        <v>377</v>
      </c>
      <c r="C49">
        <v>1740</v>
      </c>
      <c r="E49" s="3">
        <v>160</v>
      </c>
      <c r="F49">
        <v>377</v>
      </c>
      <c r="G49">
        <v>1890</v>
      </c>
      <c r="J49" s="3" t="s">
        <v>491</v>
      </c>
      <c r="K49" s="3">
        <v>0.4</v>
      </c>
      <c r="L49" s="3">
        <v>0.45</v>
      </c>
      <c r="M49" s="3">
        <v>0.5</v>
      </c>
      <c r="N49" s="3">
        <v>0.55000000000000004</v>
      </c>
      <c r="O49" s="3">
        <v>0.6</v>
      </c>
      <c r="P49" s="3">
        <v>0.65</v>
      </c>
      <c r="Q49" s="3">
        <v>0.7</v>
      </c>
      <c r="R49" s="3">
        <v>0.75</v>
      </c>
      <c r="S49" s="3">
        <v>0.8</v>
      </c>
    </row>
    <row r="50" spans="1:19" x14ac:dyDescent="0.25">
      <c r="A50" s="3">
        <v>180</v>
      </c>
      <c r="B50">
        <v>388</v>
      </c>
      <c r="C50">
        <v>1600</v>
      </c>
      <c r="E50" s="3">
        <v>180</v>
      </c>
      <c r="F50">
        <v>388</v>
      </c>
      <c r="G50">
        <v>1920</v>
      </c>
      <c r="J50" s="3" t="s">
        <v>480</v>
      </c>
      <c r="K50">
        <v>3.56</v>
      </c>
      <c r="L50">
        <v>3.17</v>
      </c>
      <c r="M50">
        <v>2.86</v>
      </c>
      <c r="N50">
        <v>2.63</v>
      </c>
      <c r="O50">
        <v>2.44</v>
      </c>
      <c r="P50">
        <v>2.2799999999999998</v>
      </c>
      <c r="Q50">
        <v>2.14</v>
      </c>
      <c r="R50">
        <v>2.02</v>
      </c>
      <c r="S50">
        <v>1.91</v>
      </c>
    </row>
    <row r="51" spans="1:19" x14ac:dyDescent="0.25">
      <c r="A51" s="3">
        <v>200</v>
      </c>
      <c r="B51">
        <v>400</v>
      </c>
      <c r="C51">
        <v>1460</v>
      </c>
      <c r="E51" s="3">
        <v>200</v>
      </c>
      <c r="F51">
        <v>400</v>
      </c>
      <c r="G51">
        <v>1950</v>
      </c>
      <c r="J51" s="3" t="s">
        <v>493</v>
      </c>
      <c r="K51">
        <v>3.53</v>
      </c>
      <c r="L51">
        <v>3.14</v>
      </c>
      <c r="M51">
        <v>2.82</v>
      </c>
      <c r="N51">
        <v>2.57</v>
      </c>
      <c r="O51">
        <v>2.35</v>
      </c>
      <c r="P51">
        <v>2.17</v>
      </c>
      <c r="Q51">
        <v>2.02</v>
      </c>
      <c r="R51">
        <v>1.88</v>
      </c>
      <c r="S51">
        <v>1.77</v>
      </c>
    </row>
    <row r="52" spans="1:19" x14ac:dyDescent="0.25">
      <c r="A52" s="3">
        <v>220</v>
      </c>
      <c r="B52">
        <v>412</v>
      </c>
      <c r="C52">
        <v>1310</v>
      </c>
      <c r="E52" s="3">
        <v>220</v>
      </c>
      <c r="F52">
        <v>412</v>
      </c>
      <c r="G52">
        <v>1980</v>
      </c>
      <c r="J52" s="3" t="s">
        <v>487</v>
      </c>
      <c r="K52" s="88">
        <f t="shared" ref="K52:S52" si="0">(K50-K51)/K51</f>
        <v>8.4985835694051694E-3</v>
      </c>
      <c r="L52" s="88">
        <f t="shared" si="0"/>
        <v>9.5541401273884722E-3</v>
      </c>
      <c r="M52" s="88">
        <f t="shared" si="0"/>
        <v>1.4184397163120581E-2</v>
      </c>
      <c r="N52" s="88">
        <f t="shared" si="0"/>
        <v>2.3346303501945546E-2</v>
      </c>
      <c r="O52" s="88">
        <f t="shared" si="0"/>
        <v>3.8297872340425469E-2</v>
      </c>
      <c r="P52" s="88">
        <f t="shared" si="0"/>
        <v>5.0691244239631283E-2</v>
      </c>
      <c r="Q52" s="88">
        <f t="shared" si="0"/>
        <v>5.9405940594059459E-2</v>
      </c>
      <c r="R52" s="88">
        <f t="shared" si="0"/>
        <v>7.4468085106383045E-2</v>
      </c>
      <c r="S52" s="88">
        <f t="shared" si="0"/>
        <v>7.909604519774005E-2</v>
      </c>
    </row>
    <row r="53" spans="1:19" x14ac:dyDescent="0.25">
      <c r="A53" s="3">
        <v>240</v>
      </c>
      <c r="B53">
        <v>425</v>
      </c>
      <c r="C53">
        <v>1170</v>
      </c>
      <c r="E53" s="3">
        <v>240</v>
      </c>
      <c r="F53">
        <v>425</v>
      </c>
      <c r="G53">
        <v>2010</v>
      </c>
    </row>
    <row r="54" spans="1:19" x14ac:dyDescent="0.25">
      <c r="A54" s="3">
        <v>260</v>
      </c>
      <c r="B54">
        <v>438</v>
      </c>
      <c r="C54">
        <v>1020</v>
      </c>
      <c r="E54" s="3">
        <v>260</v>
      </c>
      <c r="F54">
        <v>438</v>
      </c>
      <c r="G54">
        <v>2030</v>
      </c>
    </row>
    <row r="55" spans="1:19" x14ac:dyDescent="0.25">
      <c r="A55" s="3">
        <v>280</v>
      </c>
      <c r="B55">
        <v>452</v>
      </c>
      <c r="C55">
        <v>880</v>
      </c>
      <c r="E55" s="3">
        <v>280</v>
      </c>
      <c r="F55">
        <v>452</v>
      </c>
      <c r="G55">
        <v>2060</v>
      </c>
      <c r="K55" s="104" t="s">
        <v>426</v>
      </c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3">
        <v>300</v>
      </c>
      <c r="B56">
        <v>466</v>
      </c>
      <c r="C56">
        <v>730</v>
      </c>
      <c r="E56" s="3">
        <v>300</v>
      </c>
      <c r="F56">
        <v>466</v>
      </c>
      <c r="G56">
        <v>1910</v>
      </c>
      <c r="J56" s="3" t="s">
        <v>480</v>
      </c>
      <c r="K56">
        <v>31031179.572758395</v>
      </c>
      <c r="L56">
        <v>31824720.717317674</v>
      </c>
      <c r="M56">
        <v>32373043.883986205</v>
      </c>
      <c r="N56">
        <v>32713594.623371772</v>
      </c>
      <c r="O56">
        <v>33089924.499248601</v>
      </c>
      <c r="P56">
        <v>33512094.934233859</v>
      </c>
      <c r="Q56">
        <v>33943897.023516431</v>
      </c>
      <c r="R56">
        <v>34402641.93274577</v>
      </c>
      <c r="S56">
        <v>34929324.01195021</v>
      </c>
    </row>
    <row r="57" spans="1:19" x14ac:dyDescent="0.25">
      <c r="A57" s="3">
        <v>320</v>
      </c>
      <c r="B57">
        <v>473</v>
      </c>
      <c r="C57">
        <v>880</v>
      </c>
      <c r="E57" s="3">
        <v>320</v>
      </c>
      <c r="F57">
        <v>473</v>
      </c>
      <c r="G57">
        <v>2700</v>
      </c>
      <c r="J57" s="3" t="s">
        <v>493</v>
      </c>
      <c r="K57">
        <v>30051564.934611082</v>
      </c>
      <c r="L57">
        <v>30862059.576340839</v>
      </c>
      <c r="M57">
        <v>31648310.694237292</v>
      </c>
      <c r="N57">
        <v>32373637.636104289</v>
      </c>
      <c r="O57">
        <v>33107715.018744059</v>
      </c>
      <c r="P57">
        <v>33800671.472559147</v>
      </c>
      <c r="Q57">
        <v>34430682.408926107</v>
      </c>
      <c r="R57">
        <v>35092124.990344644</v>
      </c>
      <c r="S57">
        <v>35676540.379052751</v>
      </c>
    </row>
    <row r="58" spans="1:19" x14ac:dyDescent="0.25">
      <c r="A58" s="3">
        <v>340</v>
      </c>
      <c r="B58">
        <v>468</v>
      </c>
      <c r="C58">
        <v>750</v>
      </c>
      <c r="E58" s="3">
        <v>340</v>
      </c>
      <c r="F58">
        <v>468</v>
      </c>
      <c r="G58">
        <v>2570</v>
      </c>
      <c r="J58" s="3" t="s">
        <v>487</v>
      </c>
      <c r="K58" s="88">
        <f t="shared" ref="K58:S58" si="1">(K56-K57)/K57</f>
        <v>3.2597791172567801E-2</v>
      </c>
      <c r="L58" s="88">
        <f t="shared" si="1"/>
        <v>3.119238165539738E-2</v>
      </c>
      <c r="M58" s="88">
        <f t="shared" si="1"/>
        <v>2.2899585281209865E-2</v>
      </c>
      <c r="N58" s="88">
        <f t="shared" si="1"/>
        <v>1.0501043814994405E-2</v>
      </c>
      <c r="O58" s="88">
        <f t="shared" si="1"/>
        <v>-5.3735268306451354E-4</v>
      </c>
      <c r="P58" s="88">
        <f t="shared" si="1"/>
        <v>-8.5375977977113961E-3</v>
      </c>
      <c r="Q58" s="88">
        <f t="shared" si="1"/>
        <v>-1.4138127720741227E-2</v>
      </c>
      <c r="R58" s="88">
        <f t="shared" si="1"/>
        <v>-1.9647800120071966E-2</v>
      </c>
      <c r="S58" s="88">
        <f t="shared" si="1"/>
        <v>-2.0944193555865756E-2</v>
      </c>
    </row>
    <row r="59" spans="1:19" x14ac:dyDescent="0.25">
      <c r="A59" s="3">
        <v>360</v>
      </c>
      <c r="B59">
        <v>464</v>
      </c>
      <c r="C59">
        <v>600</v>
      </c>
      <c r="E59" s="3">
        <v>360</v>
      </c>
      <c r="F59">
        <v>464</v>
      </c>
      <c r="G59">
        <v>2470</v>
      </c>
    </row>
    <row r="60" spans="1:19" x14ac:dyDescent="0.25">
      <c r="A60" s="3">
        <v>380</v>
      </c>
      <c r="B60">
        <v>464</v>
      </c>
      <c r="C60">
        <v>410</v>
      </c>
      <c r="E60" s="3">
        <v>380</v>
      </c>
      <c r="F60">
        <v>464</v>
      </c>
      <c r="G60">
        <v>2200</v>
      </c>
      <c r="K60" s="104" t="s">
        <v>492</v>
      </c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3">
        <v>400</v>
      </c>
      <c r="B61">
        <v>464</v>
      </c>
      <c r="C61">
        <v>250</v>
      </c>
      <c r="E61" s="3">
        <v>400</v>
      </c>
      <c r="F61">
        <v>464</v>
      </c>
      <c r="G61">
        <v>2180</v>
      </c>
      <c r="J61" s="3" t="s">
        <v>480</v>
      </c>
      <c r="K61">
        <v>0.29392530146399976</v>
      </c>
      <c r="L61">
        <v>0.27400921789154964</v>
      </c>
      <c r="M61">
        <v>0.25646402426753268</v>
      </c>
      <c r="N61">
        <v>0.24258489386380189</v>
      </c>
      <c r="O61">
        <v>0.23160446021393954</v>
      </c>
      <c r="P61">
        <v>0.22263258835333552</v>
      </c>
      <c r="Q61">
        <v>0.21525114633642328</v>
      </c>
      <c r="R61">
        <v>0.2091373473147716</v>
      </c>
      <c r="S61">
        <v>0.20434054511610766</v>
      </c>
    </row>
    <row r="62" spans="1:19" x14ac:dyDescent="0.25">
      <c r="J62" s="3" t="s">
        <v>493</v>
      </c>
      <c r="K62">
        <v>0.28237188360679716</v>
      </c>
      <c r="L62">
        <v>0.26351560320600848</v>
      </c>
      <c r="M62">
        <v>0.2480959636221268</v>
      </c>
      <c r="N62">
        <v>0.23602392245670756</v>
      </c>
      <c r="O62">
        <v>0.22540387175705909</v>
      </c>
      <c r="P62">
        <v>0.21667997081059032</v>
      </c>
      <c r="Q62">
        <v>0.20946250741999226</v>
      </c>
      <c r="R62">
        <v>0.20269977538282505</v>
      </c>
      <c r="S62">
        <v>0.19735051607528581</v>
      </c>
    </row>
    <row r="63" spans="1:19" x14ac:dyDescent="0.25">
      <c r="J63" s="3" t="s">
        <v>487</v>
      </c>
      <c r="K63" s="88">
        <f t="shared" ref="K63:S63" si="2">(K61-K62)/K62</f>
        <v>4.0915609973727875E-2</v>
      </c>
      <c r="L63" s="88">
        <f t="shared" si="2"/>
        <v>3.9821606606488404E-2</v>
      </c>
      <c r="M63" s="88">
        <f t="shared" si="2"/>
        <v>3.37291285325029E-2</v>
      </c>
      <c r="N63" s="88">
        <f t="shared" si="2"/>
        <v>2.7797908528944853E-2</v>
      </c>
      <c r="O63" s="88">
        <f t="shared" si="2"/>
        <v>2.750879303246161E-2</v>
      </c>
      <c r="P63" s="88">
        <f t="shared" si="2"/>
        <v>2.7471932548618686E-2</v>
      </c>
      <c r="Q63" s="88">
        <f t="shared" si="2"/>
        <v>2.763568042668493E-2</v>
      </c>
      <c r="R63" s="88">
        <f t="shared" si="2"/>
        <v>3.175914684556682E-2</v>
      </c>
      <c r="S63" s="88">
        <f t="shared" si="2"/>
        <v>3.5419360333242195E-2</v>
      </c>
    </row>
    <row r="65" spans="1:7" x14ac:dyDescent="0.25">
      <c r="A65" s="84" t="s">
        <v>474</v>
      </c>
    </row>
    <row r="67" spans="1:7" x14ac:dyDescent="0.25">
      <c r="A67" s="103" t="s">
        <v>455</v>
      </c>
      <c r="B67" s="103"/>
      <c r="C67" s="103"/>
      <c r="E67" s="103" t="s">
        <v>473</v>
      </c>
      <c r="F67" s="103"/>
      <c r="G67" s="103"/>
    </row>
    <row r="68" spans="1:7" x14ac:dyDescent="0.25">
      <c r="A68" t="s">
        <v>470</v>
      </c>
      <c r="B68" t="s">
        <v>449</v>
      </c>
      <c r="C68" t="s">
        <v>471</v>
      </c>
      <c r="E68" t="s">
        <v>470</v>
      </c>
      <c r="F68" t="s">
        <v>449</v>
      </c>
      <c r="G68" t="s">
        <v>472</v>
      </c>
    </row>
    <row r="69" spans="1:7" x14ac:dyDescent="0.25">
      <c r="A69" s="3">
        <v>0</v>
      </c>
      <c r="B69">
        <v>142</v>
      </c>
      <c r="C69">
        <v>1560</v>
      </c>
      <c r="E69" s="3">
        <v>0</v>
      </c>
      <c r="F69">
        <v>132</v>
      </c>
      <c r="G69">
        <v>1200</v>
      </c>
    </row>
    <row r="70" spans="1:7" x14ac:dyDescent="0.25">
      <c r="A70" s="3">
        <v>5</v>
      </c>
      <c r="B70">
        <v>143</v>
      </c>
      <c r="C70">
        <v>1550</v>
      </c>
      <c r="E70" s="3">
        <v>5</v>
      </c>
      <c r="F70">
        <v>133</v>
      </c>
      <c r="G70">
        <v>1210</v>
      </c>
    </row>
    <row r="71" spans="1:7" x14ac:dyDescent="0.25">
      <c r="A71" s="3">
        <v>10</v>
      </c>
      <c r="B71">
        <v>144</v>
      </c>
      <c r="C71">
        <v>1530</v>
      </c>
      <c r="E71" s="3">
        <v>10</v>
      </c>
      <c r="F71">
        <v>139</v>
      </c>
      <c r="G71">
        <v>1190</v>
      </c>
    </row>
    <row r="72" spans="1:7" x14ac:dyDescent="0.25">
      <c r="A72" s="3">
        <v>15</v>
      </c>
      <c r="B72">
        <v>150</v>
      </c>
      <c r="C72">
        <v>1630</v>
      </c>
      <c r="E72" s="3">
        <v>15</v>
      </c>
      <c r="F72">
        <v>151</v>
      </c>
      <c r="G72">
        <v>1160</v>
      </c>
    </row>
    <row r="73" spans="1:7" x14ac:dyDescent="0.25">
      <c r="A73" s="3">
        <v>20</v>
      </c>
      <c r="B73">
        <v>151</v>
      </c>
      <c r="C73">
        <v>1610</v>
      </c>
      <c r="E73" s="3">
        <v>20</v>
      </c>
      <c r="F73">
        <v>183</v>
      </c>
      <c r="G73">
        <v>1120</v>
      </c>
    </row>
    <row r="74" spans="1:7" x14ac:dyDescent="0.25">
      <c r="A74" s="3">
        <v>30</v>
      </c>
      <c r="B74">
        <v>175</v>
      </c>
      <c r="C74">
        <v>1970</v>
      </c>
      <c r="E74" s="3">
        <v>30</v>
      </c>
      <c r="F74">
        <v>230</v>
      </c>
      <c r="G74">
        <v>1260</v>
      </c>
    </row>
    <row r="75" spans="1:7" x14ac:dyDescent="0.25">
      <c r="A75" s="3">
        <v>40</v>
      </c>
      <c r="B75">
        <v>209</v>
      </c>
      <c r="C75">
        <v>2400</v>
      </c>
      <c r="E75" s="3">
        <v>40</v>
      </c>
      <c r="F75">
        <v>233</v>
      </c>
      <c r="G75">
        <v>1280</v>
      </c>
    </row>
    <row r="76" spans="1:7" x14ac:dyDescent="0.25">
      <c r="A76" s="3">
        <v>60</v>
      </c>
      <c r="B76">
        <v>272</v>
      </c>
      <c r="C76">
        <v>2820</v>
      </c>
      <c r="E76" s="3">
        <v>60</v>
      </c>
      <c r="F76">
        <v>240</v>
      </c>
      <c r="G76">
        <v>1310</v>
      </c>
    </row>
    <row r="77" spans="1:7" x14ac:dyDescent="0.25">
      <c r="A77" s="3">
        <v>80</v>
      </c>
      <c r="B77">
        <v>280</v>
      </c>
      <c r="C77">
        <v>2710</v>
      </c>
      <c r="E77" s="3">
        <v>80</v>
      </c>
      <c r="F77">
        <v>280</v>
      </c>
      <c r="G77">
        <v>1560</v>
      </c>
    </row>
    <row r="78" spans="1:7" x14ac:dyDescent="0.25">
      <c r="A78" s="3">
        <v>100</v>
      </c>
      <c r="B78">
        <v>289</v>
      </c>
      <c r="C78">
        <v>2600</v>
      </c>
      <c r="E78" s="3">
        <v>100</v>
      </c>
      <c r="F78">
        <v>289</v>
      </c>
      <c r="G78">
        <v>1600</v>
      </c>
    </row>
    <row r="79" spans="1:7" x14ac:dyDescent="0.25">
      <c r="A79" s="3">
        <v>120</v>
      </c>
      <c r="B79">
        <v>356</v>
      </c>
      <c r="C79">
        <v>2540</v>
      </c>
      <c r="E79" s="3">
        <v>120</v>
      </c>
      <c r="F79">
        <v>332</v>
      </c>
      <c r="G79">
        <v>1940</v>
      </c>
    </row>
    <row r="80" spans="1:7" x14ac:dyDescent="0.25">
      <c r="A80" s="3">
        <v>140</v>
      </c>
      <c r="B80">
        <v>366</v>
      </c>
      <c r="C80">
        <v>2390</v>
      </c>
      <c r="E80" s="3">
        <v>140</v>
      </c>
      <c r="F80">
        <v>342</v>
      </c>
      <c r="G80">
        <v>1980</v>
      </c>
    </row>
    <row r="81" spans="1:7" x14ac:dyDescent="0.25">
      <c r="A81" s="3">
        <v>160</v>
      </c>
      <c r="B81">
        <v>377</v>
      </c>
      <c r="C81">
        <v>2220</v>
      </c>
      <c r="E81" s="3">
        <v>160</v>
      </c>
      <c r="F81">
        <v>353</v>
      </c>
      <c r="G81">
        <v>2020</v>
      </c>
    </row>
    <row r="82" spans="1:7" x14ac:dyDescent="0.25">
      <c r="A82" s="3">
        <v>180</v>
      </c>
      <c r="B82">
        <v>388</v>
      </c>
      <c r="C82">
        <v>2050</v>
      </c>
      <c r="E82" s="3">
        <v>180</v>
      </c>
      <c r="F82">
        <v>363</v>
      </c>
      <c r="G82">
        <v>2060</v>
      </c>
    </row>
    <row r="83" spans="1:7" x14ac:dyDescent="0.25">
      <c r="A83" s="3">
        <v>200</v>
      </c>
      <c r="B83">
        <v>400</v>
      </c>
      <c r="C83">
        <v>1870</v>
      </c>
      <c r="E83" s="3">
        <v>200</v>
      </c>
      <c r="F83">
        <v>375</v>
      </c>
      <c r="G83">
        <v>2110</v>
      </c>
    </row>
    <row r="84" spans="1:7" x14ac:dyDescent="0.25">
      <c r="A84" s="3">
        <v>220</v>
      </c>
      <c r="B84">
        <v>412</v>
      </c>
      <c r="C84">
        <v>1680</v>
      </c>
      <c r="E84" s="3">
        <v>220</v>
      </c>
      <c r="F84">
        <v>386</v>
      </c>
      <c r="G84">
        <v>2150</v>
      </c>
    </row>
    <row r="85" spans="1:7" x14ac:dyDescent="0.25">
      <c r="A85" s="3">
        <v>240</v>
      </c>
      <c r="B85">
        <v>425</v>
      </c>
      <c r="C85">
        <v>1490</v>
      </c>
      <c r="E85" s="3">
        <v>240</v>
      </c>
      <c r="F85">
        <v>398</v>
      </c>
      <c r="G85">
        <v>2190</v>
      </c>
    </row>
    <row r="86" spans="1:7" x14ac:dyDescent="0.25">
      <c r="A86" s="3">
        <v>260</v>
      </c>
      <c r="B86">
        <v>431</v>
      </c>
      <c r="C86">
        <v>1770</v>
      </c>
      <c r="E86" s="3">
        <v>260</v>
      </c>
      <c r="F86">
        <v>411</v>
      </c>
      <c r="G86">
        <v>1940</v>
      </c>
    </row>
    <row r="87" spans="1:7" x14ac:dyDescent="0.25">
      <c r="A87" s="3">
        <v>280</v>
      </c>
      <c r="B87">
        <v>427</v>
      </c>
      <c r="C87">
        <v>1560</v>
      </c>
      <c r="E87" s="3">
        <v>280</v>
      </c>
      <c r="F87">
        <v>424</v>
      </c>
      <c r="G87">
        <v>1990</v>
      </c>
    </row>
    <row r="88" spans="1:7" x14ac:dyDescent="0.25">
      <c r="A88" s="3">
        <v>300</v>
      </c>
      <c r="B88">
        <v>424</v>
      </c>
      <c r="C88">
        <v>1330</v>
      </c>
      <c r="E88" s="3">
        <v>300</v>
      </c>
      <c r="F88">
        <v>424</v>
      </c>
      <c r="G88">
        <v>2620</v>
      </c>
    </row>
    <row r="89" spans="1:7" x14ac:dyDescent="0.25">
      <c r="A89" s="3">
        <v>320</v>
      </c>
      <c r="B89">
        <v>420</v>
      </c>
      <c r="C89">
        <v>1090</v>
      </c>
      <c r="E89" s="3">
        <v>320</v>
      </c>
      <c r="F89">
        <v>420</v>
      </c>
      <c r="G89">
        <v>2550</v>
      </c>
    </row>
    <row r="90" spans="1:7" x14ac:dyDescent="0.25">
      <c r="A90" s="3">
        <v>340</v>
      </c>
      <c r="B90">
        <v>416</v>
      </c>
      <c r="C90">
        <v>820</v>
      </c>
      <c r="E90" s="3">
        <v>340</v>
      </c>
      <c r="F90">
        <v>416</v>
      </c>
      <c r="G90">
        <v>2500</v>
      </c>
    </row>
    <row r="91" spans="1:7" x14ac:dyDescent="0.25">
      <c r="A91" s="3">
        <v>360</v>
      </c>
      <c r="B91">
        <v>413</v>
      </c>
      <c r="C91">
        <v>540</v>
      </c>
      <c r="E91" s="3">
        <v>360</v>
      </c>
      <c r="F91">
        <v>413</v>
      </c>
      <c r="G91">
        <v>2480</v>
      </c>
    </row>
    <row r="92" spans="1:7" x14ac:dyDescent="0.25">
      <c r="A92" s="3">
        <v>380</v>
      </c>
      <c r="B92">
        <v>412</v>
      </c>
      <c r="C92">
        <v>220</v>
      </c>
      <c r="E92" s="3">
        <v>380</v>
      </c>
      <c r="F92">
        <v>412</v>
      </c>
      <c r="G92">
        <v>2330</v>
      </c>
    </row>
    <row r="93" spans="1:7" x14ac:dyDescent="0.25">
      <c r="A93" s="3">
        <v>400</v>
      </c>
      <c r="B93">
        <v>412</v>
      </c>
      <c r="C93">
        <v>0</v>
      </c>
      <c r="E93" s="3">
        <v>400</v>
      </c>
      <c r="F93">
        <v>412</v>
      </c>
      <c r="G93">
        <v>2380</v>
      </c>
    </row>
    <row r="97" spans="1:7" x14ac:dyDescent="0.25">
      <c r="A97" s="84" t="s">
        <v>475</v>
      </c>
    </row>
    <row r="99" spans="1:7" x14ac:dyDescent="0.25">
      <c r="A99" s="103" t="s">
        <v>455</v>
      </c>
      <c r="B99" s="103"/>
      <c r="C99" s="103"/>
      <c r="E99" s="103" t="s">
        <v>473</v>
      </c>
      <c r="F99" s="103"/>
      <c r="G99" s="103"/>
    </row>
    <row r="100" spans="1:7" x14ac:dyDescent="0.25">
      <c r="A100" t="s">
        <v>470</v>
      </c>
      <c r="B100" t="s">
        <v>449</v>
      </c>
      <c r="C100" t="s">
        <v>471</v>
      </c>
      <c r="E100" t="s">
        <v>470</v>
      </c>
      <c r="F100" t="s">
        <v>449</v>
      </c>
      <c r="G100" t="s">
        <v>472</v>
      </c>
    </row>
    <row r="101" spans="1:7" x14ac:dyDescent="0.25">
      <c r="A101" s="3">
        <v>0</v>
      </c>
      <c r="B101">
        <v>186</v>
      </c>
      <c r="C101">
        <v>3010</v>
      </c>
      <c r="E101" s="3">
        <v>0</v>
      </c>
      <c r="F101">
        <v>171</v>
      </c>
      <c r="G101">
        <v>1050</v>
      </c>
    </row>
    <row r="102" spans="1:7" x14ac:dyDescent="0.25">
      <c r="A102" s="3">
        <v>5</v>
      </c>
      <c r="B102">
        <v>187</v>
      </c>
      <c r="C102">
        <v>2990</v>
      </c>
      <c r="E102" s="3">
        <v>5</v>
      </c>
      <c r="F102">
        <v>173</v>
      </c>
      <c r="G102">
        <v>1060</v>
      </c>
    </row>
    <row r="103" spans="1:7" x14ac:dyDescent="0.25">
      <c r="A103" s="3">
        <v>10</v>
      </c>
      <c r="B103">
        <v>188</v>
      </c>
      <c r="C103">
        <v>2970</v>
      </c>
      <c r="E103" s="3">
        <v>10</v>
      </c>
      <c r="F103">
        <v>179</v>
      </c>
      <c r="G103">
        <v>1070</v>
      </c>
    </row>
    <row r="104" spans="1:7" x14ac:dyDescent="0.25">
      <c r="A104" s="3">
        <v>15</v>
      </c>
      <c r="B104">
        <v>195</v>
      </c>
      <c r="C104">
        <v>3040</v>
      </c>
      <c r="E104" s="3">
        <v>15</v>
      </c>
      <c r="F104">
        <v>190</v>
      </c>
      <c r="G104">
        <v>1100</v>
      </c>
    </row>
    <row r="105" spans="1:7" x14ac:dyDescent="0.25">
      <c r="A105" s="3">
        <v>20</v>
      </c>
      <c r="B105">
        <v>196</v>
      </c>
      <c r="C105">
        <v>3030</v>
      </c>
      <c r="E105" s="3">
        <v>20</v>
      </c>
      <c r="F105">
        <v>223</v>
      </c>
      <c r="G105">
        <v>1230</v>
      </c>
    </row>
    <row r="106" spans="1:7" x14ac:dyDescent="0.25">
      <c r="A106" s="3">
        <v>30</v>
      </c>
      <c r="B106">
        <v>220</v>
      </c>
      <c r="C106">
        <v>3290</v>
      </c>
      <c r="E106" s="3">
        <v>30</v>
      </c>
      <c r="F106">
        <v>230</v>
      </c>
      <c r="G106">
        <v>1270</v>
      </c>
    </row>
    <row r="107" spans="1:7" x14ac:dyDescent="0.25">
      <c r="A107" s="3">
        <v>40</v>
      </c>
      <c r="B107">
        <v>255</v>
      </c>
      <c r="C107">
        <v>3580</v>
      </c>
      <c r="E107" s="3">
        <v>40</v>
      </c>
      <c r="F107">
        <v>233</v>
      </c>
      <c r="G107">
        <v>1290</v>
      </c>
    </row>
    <row r="108" spans="1:7" x14ac:dyDescent="0.25">
      <c r="A108" s="3">
        <v>60</v>
      </c>
      <c r="B108">
        <v>272</v>
      </c>
      <c r="C108">
        <v>3550</v>
      </c>
      <c r="E108" s="3">
        <v>60</v>
      </c>
      <c r="F108">
        <v>240</v>
      </c>
      <c r="G108">
        <v>1340</v>
      </c>
    </row>
    <row r="109" spans="1:7" x14ac:dyDescent="0.25">
      <c r="A109" s="3">
        <v>80</v>
      </c>
      <c r="B109">
        <v>280</v>
      </c>
      <c r="C109">
        <v>3430</v>
      </c>
      <c r="E109" s="3">
        <v>80</v>
      </c>
      <c r="F109">
        <v>280</v>
      </c>
      <c r="G109">
        <v>1640</v>
      </c>
    </row>
    <row r="110" spans="1:7" x14ac:dyDescent="0.25">
      <c r="A110" s="3">
        <v>100</v>
      </c>
      <c r="B110">
        <v>289</v>
      </c>
      <c r="C110">
        <v>3310</v>
      </c>
      <c r="E110" s="3">
        <v>100</v>
      </c>
      <c r="F110">
        <v>289</v>
      </c>
      <c r="G110">
        <v>1690</v>
      </c>
    </row>
    <row r="111" spans="1:7" x14ac:dyDescent="0.25">
      <c r="A111" s="3">
        <v>120</v>
      </c>
      <c r="B111">
        <v>402</v>
      </c>
      <c r="C111">
        <v>3040</v>
      </c>
      <c r="E111" s="3">
        <v>120</v>
      </c>
      <c r="F111">
        <v>344</v>
      </c>
      <c r="G111">
        <v>2270</v>
      </c>
    </row>
    <row r="112" spans="1:7" x14ac:dyDescent="0.25">
      <c r="A112" s="3">
        <v>140</v>
      </c>
      <c r="B112">
        <v>413</v>
      </c>
      <c r="C112">
        <v>2840</v>
      </c>
      <c r="E112" s="3">
        <v>140</v>
      </c>
      <c r="F112">
        <v>354</v>
      </c>
      <c r="G112">
        <v>2320</v>
      </c>
    </row>
    <row r="113" spans="1:7" x14ac:dyDescent="0.25">
      <c r="A113" s="3">
        <v>160</v>
      </c>
      <c r="B113">
        <v>425</v>
      </c>
      <c r="C113">
        <v>2640</v>
      </c>
      <c r="E113" s="3">
        <v>160</v>
      </c>
      <c r="F113">
        <v>365</v>
      </c>
      <c r="G113">
        <v>2370</v>
      </c>
    </row>
    <row r="114" spans="1:7" x14ac:dyDescent="0.25">
      <c r="A114" s="3">
        <v>180</v>
      </c>
      <c r="B114">
        <v>438</v>
      </c>
      <c r="C114">
        <v>2440</v>
      </c>
      <c r="E114" s="3">
        <v>180</v>
      </c>
      <c r="F114">
        <v>376</v>
      </c>
      <c r="G114">
        <v>2420</v>
      </c>
    </row>
    <row r="115" spans="1:7" x14ac:dyDescent="0.25">
      <c r="A115" s="3">
        <v>200</v>
      </c>
      <c r="B115">
        <v>450</v>
      </c>
      <c r="C115">
        <v>2230</v>
      </c>
      <c r="E115" s="3">
        <v>200</v>
      </c>
      <c r="F115">
        <v>387</v>
      </c>
      <c r="G115">
        <v>2470</v>
      </c>
    </row>
    <row r="116" spans="1:7" x14ac:dyDescent="0.25">
      <c r="A116" s="3">
        <v>220</v>
      </c>
      <c r="B116">
        <v>464</v>
      </c>
      <c r="C116">
        <v>2010</v>
      </c>
      <c r="E116" s="3">
        <v>220</v>
      </c>
      <c r="F116">
        <v>399</v>
      </c>
      <c r="G116">
        <v>2520</v>
      </c>
    </row>
    <row r="117" spans="1:7" x14ac:dyDescent="0.25">
      <c r="A117" s="3">
        <v>240</v>
      </c>
      <c r="B117">
        <v>478</v>
      </c>
      <c r="C117">
        <v>1790</v>
      </c>
      <c r="E117" s="3">
        <v>240</v>
      </c>
      <c r="F117">
        <v>412</v>
      </c>
      <c r="G117">
        <v>2570</v>
      </c>
    </row>
    <row r="118" spans="1:7" x14ac:dyDescent="0.25">
      <c r="A118" s="3">
        <v>260</v>
      </c>
      <c r="B118">
        <v>492</v>
      </c>
      <c r="C118">
        <v>1560</v>
      </c>
      <c r="E118" s="3">
        <v>260</v>
      </c>
      <c r="F118">
        <v>424</v>
      </c>
      <c r="G118">
        <v>2610</v>
      </c>
    </row>
    <row r="119" spans="1:7" x14ac:dyDescent="0.25">
      <c r="A119" s="3">
        <v>280</v>
      </c>
      <c r="B119">
        <v>505</v>
      </c>
      <c r="C119">
        <v>1980</v>
      </c>
      <c r="E119" s="3">
        <v>280</v>
      </c>
      <c r="F119">
        <v>438</v>
      </c>
      <c r="G119">
        <v>2660</v>
      </c>
    </row>
    <row r="120" spans="1:7" x14ac:dyDescent="0.25">
      <c r="A120" s="3">
        <v>300</v>
      </c>
      <c r="B120">
        <v>500</v>
      </c>
      <c r="C120">
        <v>1850</v>
      </c>
      <c r="E120" s="3">
        <v>300</v>
      </c>
      <c r="F120">
        <v>452</v>
      </c>
      <c r="G120">
        <v>2700</v>
      </c>
    </row>
    <row r="121" spans="1:7" x14ac:dyDescent="0.25">
      <c r="A121" s="3">
        <v>320</v>
      </c>
      <c r="B121">
        <v>496</v>
      </c>
      <c r="C121">
        <v>1690</v>
      </c>
      <c r="E121" s="3">
        <v>320</v>
      </c>
      <c r="F121">
        <v>466</v>
      </c>
      <c r="G121">
        <v>2740</v>
      </c>
    </row>
    <row r="122" spans="1:7" x14ac:dyDescent="0.25">
      <c r="A122" s="3">
        <v>340</v>
      </c>
      <c r="B122">
        <v>492</v>
      </c>
      <c r="C122">
        <v>1500</v>
      </c>
      <c r="E122" s="3">
        <v>340</v>
      </c>
      <c r="F122">
        <v>481</v>
      </c>
      <c r="G122">
        <v>2780</v>
      </c>
    </row>
    <row r="123" spans="1:7" x14ac:dyDescent="0.25">
      <c r="A123" s="3">
        <v>360</v>
      </c>
      <c r="B123">
        <v>487</v>
      </c>
      <c r="C123">
        <v>1280</v>
      </c>
      <c r="E123" s="3">
        <v>360</v>
      </c>
      <c r="F123">
        <v>487</v>
      </c>
      <c r="G123">
        <v>2070</v>
      </c>
    </row>
    <row r="124" spans="1:7" x14ac:dyDescent="0.25">
      <c r="A124" s="3">
        <v>380</v>
      </c>
      <c r="B124">
        <v>487</v>
      </c>
      <c r="C124">
        <v>930</v>
      </c>
      <c r="E124" s="3">
        <v>380</v>
      </c>
      <c r="F124">
        <v>487</v>
      </c>
      <c r="G124">
        <v>1870</v>
      </c>
    </row>
    <row r="125" spans="1:7" x14ac:dyDescent="0.25">
      <c r="A125" s="3">
        <v>400</v>
      </c>
      <c r="B125">
        <v>487</v>
      </c>
      <c r="C125">
        <v>680</v>
      </c>
      <c r="E125" s="3">
        <v>400</v>
      </c>
      <c r="F125">
        <v>487</v>
      </c>
      <c r="G125">
        <v>1910</v>
      </c>
    </row>
    <row r="128" spans="1:7" x14ac:dyDescent="0.25">
      <c r="A128" s="84" t="s">
        <v>479</v>
      </c>
    </row>
    <row r="130" spans="1:7" x14ac:dyDescent="0.25">
      <c r="A130" s="103" t="s">
        <v>455</v>
      </c>
      <c r="B130" s="103"/>
      <c r="C130" s="103"/>
      <c r="E130" s="103" t="s">
        <v>473</v>
      </c>
      <c r="F130" s="103"/>
      <c r="G130" s="103"/>
    </row>
    <row r="131" spans="1:7" x14ac:dyDescent="0.25">
      <c r="A131" t="s">
        <v>470</v>
      </c>
      <c r="B131" t="s">
        <v>449</v>
      </c>
      <c r="C131" t="s">
        <v>471</v>
      </c>
      <c r="E131" t="s">
        <v>470</v>
      </c>
      <c r="F131" t="s">
        <v>449</v>
      </c>
      <c r="G131" t="s">
        <v>472</v>
      </c>
    </row>
    <row r="132" spans="1:7" x14ac:dyDescent="0.25">
      <c r="A132" s="3">
        <v>0</v>
      </c>
      <c r="B132" s="4">
        <f>1.4*A132+150</f>
        <v>150</v>
      </c>
      <c r="C132">
        <v>2000</v>
      </c>
      <c r="E132" s="3">
        <v>0</v>
      </c>
      <c r="F132" s="4">
        <f>1.39*E132+150</f>
        <v>150</v>
      </c>
      <c r="G132">
        <v>2000</v>
      </c>
    </row>
    <row r="133" spans="1:7" x14ac:dyDescent="0.25">
      <c r="A133" s="3">
        <v>5</v>
      </c>
      <c r="B133" s="4">
        <f t="shared" ref="B133:B140" si="3">1.4*A133+150</f>
        <v>157</v>
      </c>
      <c r="C133">
        <v>2000</v>
      </c>
      <c r="E133" s="3">
        <v>5</v>
      </c>
      <c r="F133" s="4">
        <f t="shared" ref="F133:F141" si="4">1.39*E133+150</f>
        <v>156.94999999999999</v>
      </c>
      <c r="G133">
        <v>2000</v>
      </c>
    </row>
    <row r="134" spans="1:7" x14ac:dyDescent="0.25">
      <c r="A134" s="3">
        <v>10</v>
      </c>
      <c r="B134" s="4">
        <f t="shared" si="3"/>
        <v>164</v>
      </c>
      <c r="C134">
        <v>2000</v>
      </c>
      <c r="E134" s="3">
        <v>10</v>
      </c>
      <c r="F134" s="4">
        <f t="shared" si="4"/>
        <v>163.9</v>
      </c>
      <c r="G134">
        <v>2000</v>
      </c>
    </row>
    <row r="135" spans="1:7" x14ac:dyDescent="0.25">
      <c r="A135" s="3">
        <v>15</v>
      </c>
      <c r="B135" s="4">
        <f t="shared" si="3"/>
        <v>171</v>
      </c>
      <c r="C135">
        <v>2000</v>
      </c>
      <c r="E135" s="3">
        <v>15</v>
      </c>
      <c r="F135" s="4">
        <f t="shared" si="4"/>
        <v>170.85</v>
      </c>
      <c r="G135">
        <v>2000</v>
      </c>
    </row>
    <row r="136" spans="1:7" x14ac:dyDescent="0.25">
      <c r="A136" s="3">
        <v>20</v>
      </c>
      <c r="B136" s="4">
        <f>1.4*A136+150</f>
        <v>178</v>
      </c>
      <c r="C136">
        <v>2000</v>
      </c>
      <c r="E136" s="3">
        <v>20</v>
      </c>
      <c r="F136" s="4">
        <f t="shared" si="4"/>
        <v>177.8</v>
      </c>
      <c r="G136">
        <v>2000</v>
      </c>
    </row>
    <row r="137" spans="1:7" x14ac:dyDescent="0.25">
      <c r="A137" s="3">
        <v>30</v>
      </c>
      <c r="B137" s="4">
        <f t="shared" si="3"/>
        <v>192</v>
      </c>
      <c r="C137">
        <v>2000</v>
      </c>
      <c r="E137" s="3">
        <v>30</v>
      </c>
      <c r="F137" s="4">
        <f t="shared" si="4"/>
        <v>191.7</v>
      </c>
      <c r="G137">
        <v>2000</v>
      </c>
    </row>
    <row r="138" spans="1:7" x14ac:dyDescent="0.25">
      <c r="A138" s="3">
        <v>40</v>
      </c>
      <c r="B138" s="4">
        <f t="shared" si="3"/>
        <v>206</v>
      </c>
      <c r="C138">
        <v>2000</v>
      </c>
      <c r="E138" s="3">
        <v>40</v>
      </c>
      <c r="F138" s="4">
        <f t="shared" si="4"/>
        <v>205.6</v>
      </c>
      <c r="G138">
        <v>2000</v>
      </c>
    </row>
    <row r="139" spans="1:7" x14ac:dyDescent="0.25">
      <c r="A139" s="3">
        <v>60</v>
      </c>
      <c r="B139" s="4">
        <f t="shared" si="3"/>
        <v>234</v>
      </c>
      <c r="C139">
        <v>2000</v>
      </c>
      <c r="E139" s="3">
        <v>60</v>
      </c>
      <c r="F139" s="4">
        <f t="shared" si="4"/>
        <v>233.39999999999998</v>
      </c>
      <c r="G139">
        <v>2000</v>
      </c>
    </row>
    <row r="140" spans="1:7" x14ac:dyDescent="0.25">
      <c r="A140" s="3">
        <v>80</v>
      </c>
      <c r="B140" s="4">
        <f t="shared" si="3"/>
        <v>262</v>
      </c>
      <c r="C140">
        <v>2000</v>
      </c>
      <c r="E140" s="3">
        <v>80</v>
      </c>
      <c r="F140" s="4">
        <f t="shared" si="4"/>
        <v>261.2</v>
      </c>
      <c r="G140">
        <v>2000</v>
      </c>
    </row>
    <row r="141" spans="1:7" x14ac:dyDescent="0.25">
      <c r="A141" s="3">
        <v>100</v>
      </c>
      <c r="B141" s="4">
        <f>1.4*A141+150</f>
        <v>290</v>
      </c>
      <c r="C141">
        <v>2000</v>
      </c>
      <c r="E141" s="3">
        <v>100</v>
      </c>
      <c r="F141" s="4">
        <f t="shared" si="4"/>
        <v>289</v>
      </c>
      <c r="G141">
        <v>2000</v>
      </c>
    </row>
    <row r="142" spans="1:7" x14ac:dyDescent="0.25">
      <c r="A142" s="3">
        <v>120</v>
      </c>
      <c r="B142" s="4">
        <f>360</f>
        <v>360</v>
      </c>
      <c r="C142">
        <v>2000</v>
      </c>
      <c r="E142" s="3">
        <v>120</v>
      </c>
      <c r="F142" s="4">
        <f>360</f>
        <v>360</v>
      </c>
      <c r="G142">
        <v>2000</v>
      </c>
    </row>
    <row r="143" spans="1:7" x14ac:dyDescent="0.25">
      <c r="A143" s="3">
        <v>140</v>
      </c>
      <c r="B143" s="4">
        <f t="shared" ref="B143:B151" si="5">((TAS-360)/180)*(A143-120)+360</f>
        <v>377.3569339723341</v>
      </c>
      <c r="C143">
        <v>2000</v>
      </c>
      <c r="E143" s="3">
        <v>140</v>
      </c>
      <c r="F143" s="4">
        <f t="shared" ref="F143:F151" si="6">((TAS-360)/180)*(E143-120)+360</f>
        <v>377.3569339723341</v>
      </c>
      <c r="G143">
        <v>2000</v>
      </c>
    </row>
    <row r="144" spans="1:7" x14ac:dyDescent="0.25">
      <c r="A144" s="3">
        <v>160</v>
      </c>
      <c r="B144" s="4">
        <f t="shared" si="5"/>
        <v>394.71386794466827</v>
      </c>
      <c r="C144">
        <v>2000</v>
      </c>
      <c r="E144" s="3">
        <v>160</v>
      </c>
      <c r="F144" s="4">
        <f t="shared" si="6"/>
        <v>394.71386794466827</v>
      </c>
      <c r="G144">
        <v>2000</v>
      </c>
    </row>
    <row r="145" spans="1:7" x14ac:dyDescent="0.25">
      <c r="A145" s="3">
        <v>180</v>
      </c>
      <c r="B145" s="4">
        <f t="shared" si="5"/>
        <v>412.07080191700237</v>
      </c>
      <c r="C145">
        <v>2000</v>
      </c>
      <c r="E145" s="3">
        <v>180</v>
      </c>
      <c r="F145" s="4">
        <f t="shared" si="6"/>
        <v>412.07080191700237</v>
      </c>
      <c r="G145">
        <v>2000</v>
      </c>
    </row>
    <row r="146" spans="1:7" x14ac:dyDescent="0.25">
      <c r="A146" s="3">
        <v>200</v>
      </c>
      <c r="B146" s="4">
        <f t="shared" si="5"/>
        <v>429.42773588933653</v>
      </c>
      <c r="C146">
        <v>2000</v>
      </c>
      <c r="E146" s="3">
        <v>200</v>
      </c>
      <c r="F146" s="4">
        <f t="shared" si="6"/>
        <v>429.42773588933653</v>
      </c>
      <c r="G146">
        <v>2000</v>
      </c>
    </row>
    <row r="147" spans="1:7" x14ac:dyDescent="0.25">
      <c r="A147" s="3">
        <v>220</v>
      </c>
      <c r="B147" s="4">
        <f t="shared" si="5"/>
        <v>446.78466986167064</v>
      </c>
      <c r="C147">
        <v>2000</v>
      </c>
      <c r="E147" s="3">
        <v>220</v>
      </c>
      <c r="F147" s="4">
        <f t="shared" si="6"/>
        <v>446.78466986167064</v>
      </c>
      <c r="G147">
        <v>2000</v>
      </c>
    </row>
    <row r="148" spans="1:7" x14ac:dyDescent="0.25">
      <c r="A148" s="3">
        <v>240</v>
      </c>
      <c r="B148" s="4">
        <f t="shared" si="5"/>
        <v>464.1416038340048</v>
      </c>
      <c r="C148">
        <v>2000</v>
      </c>
      <c r="E148" s="3">
        <v>240</v>
      </c>
      <c r="F148" s="4">
        <f t="shared" si="6"/>
        <v>464.1416038340048</v>
      </c>
      <c r="G148">
        <v>2000</v>
      </c>
    </row>
    <row r="149" spans="1:7" x14ac:dyDescent="0.25">
      <c r="A149" s="3">
        <v>260</v>
      </c>
      <c r="B149" s="4">
        <f t="shared" si="5"/>
        <v>481.4985378063389</v>
      </c>
      <c r="C149">
        <v>2000</v>
      </c>
      <c r="E149" s="3">
        <v>260</v>
      </c>
      <c r="F149" s="4">
        <f t="shared" si="6"/>
        <v>481.4985378063389</v>
      </c>
      <c r="G149">
        <v>2000</v>
      </c>
    </row>
    <row r="150" spans="1:7" x14ac:dyDescent="0.25">
      <c r="A150" s="3">
        <v>280</v>
      </c>
      <c r="B150" s="4">
        <f t="shared" si="5"/>
        <v>498.85547177867306</v>
      </c>
      <c r="C150">
        <v>2000</v>
      </c>
      <c r="E150" s="3">
        <v>280</v>
      </c>
      <c r="F150" s="4">
        <f t="shared" si="6"/>
        <v>498.85547177867306</v>
      </c>
      <c r="G150">
        <v>2000</v>
      </c>
    </row>
    <row r="151" spans="1:7" x14ac:dyDescent="0.25">
      <c r="A151" s="3">
        <v>300</v>
      </c>
      <c r="B151" s="4">
        <f t="shared" si="5"/>
        <v>516.21240575100717</v>
      </c>
      <c r="C151">
        <v>2000</v>
      </c>
      <c r="E151" s="3">
        <v>300</v>
      </c>
      <c r="F151" s="4">
        <f t="shared" si="6"/>
        <v>516.21240575100717</v>
      </c>
      <c r="G151">
        <v>2000</v>
      </c>
    </row>
    <row r="152" spans="1:7" x14ac:dyDescent="0.25">
      <c r="A152" s="3">
        <v>320</v>
      </c>
      <c r="B152" s="4">
        <f>TAS</f>
        <v>516.21240575100717</v>
      </c>
      <c r="C152">
        <v>2000</v>
      </c>
      <c r="E152" s="3">
        <v>320</v>
      </c>
      <c r="F152" s="4">
        <f>TAS</f>
        <v>516.21240575100717</v>
      </c>
      <c r="G152">
        <v>2000</v>
      </c>
    </row>
    <row r="153" spans="1:7" x14ac:dyDescent="0.25">
      <c r="A153" s="3">
        <v>340</v>
      </c>
      <c r="B153" s="4">
        <f>TAS</f>
        <v>516.21240575100717</v>
      </c>
      <c r="C153">
        <v>2000</v>
      </c>
      <c r="E153" s="3">
        <v>340</v>
      </c>
      <c r="F153" s="4">
        <f>TAS</f>
        <v>516.21240575100717</v>
      </c>
      <c r="G153">
        <v>2000</v>
      </c>
    </row>
    <row r="154" spans="1:7" x14ac:dyDescent="0.25">
      <c r="A154" s="3">
        <v>360</v>
      </c>
      <c r="B154" s="4">
        <f>TAS</f>
        <v>516.21240575100717</v>
      </c>
      <c r="C154">
        <v>2000</v>
      </c>
      <c r="E154" s="3">
        <v>360</v>
      </c>
      <c r="F154" s="4">
        <f>TAS</f>
        <v>516.21240575100717</v>
      </c>
      <c r="G154">
        <v>2000</v>
      </c>
    </row>
    <row r="155" spans="1:7" x14ac:dyDescent="0.25">
      <c r="A155" s="3">
        <v>380</v>
      </c>
      <c r="B155" s="4">
        <f>TAS</f>
        <v>516.21240575100717</v>
      </c>
      <c r="C155">
        <v>2000</v>
      </c>
      <c r="E155" s="3">
        <v>380</v>
      </c>
      <c r="F155" s="4">
        <f>TAS</f>
        <v>516.21240575100717</v>
      </c>
      <c r="G155">
        <v>2000</v>
      </c>
    </row>
    <row r="156" spans="1:7" x14ac:dyDescent="0.25">
      <c r="A156" s="3">
        <v>400</v>
      </c>
      <c r="B156" s="4">
        <f>TAS</f>
        <v>516.21240575100717</v>
      </c>
      <c r="C156">
        <v>2000</v>
      </c>
      <c r="E156" s="3">
        <v>400</v>
      </c>
      <c r="F156" s="4">
        <f>TAS</f>
        <v>516.21240575100717</v>
      </c>
      <c r="G156">
        <v>2000</v>
      </c>
    </row>
    <row r="157" spans="1:7" x14ac:dyDescent="0.25">
      <c r="B157" s="4"/>
    </row>
    <row r="159" spans="1:7" x14ac:dyDescent="0.25">
      <c r="A159" s="39"/>
    </row>
    <row r="161" spans="1:3" x14ac:dyDescent="0.25">
      <c r="A161" s="4"/>
    </row>
    <row r="163" spans="1:3" x14ac:dyDescent="0.25">
      <c r="B163" s="4"/>
    </row>
    <row r="166" spans="1:3" x14ac:dyDescent="0.25">
      <c r="A166" t="s">
        <v>489</v>
      </c>
      <c r="B166" s="4">
        <f>IF(TAS&gt;290,290,TAS)</f>
        <v>290</v>
      </c>
    </row>
    <row r="167" spans="1:3" x14ac:dyDescent="0.25">
      <c r="A167" t="s">
        <v>484</v>
      </c>
      <c r="B167" s="59">
        <f>ROUND(Hft/100,0)</f>
        <v>410</v>
      </c>
    </row>
    <row r="168" spans="1:3" x14ac:dyDescent="0.25">
      <c r="A168" t="s">
        <v>483</v>
      </c>
      <c r="B168" s="4">
        <f>2*((Hft/2000)/60)</f>
        <v>0.68350831146106727</v>
      </c>
      <c r="C168" t="s">
        <v>128</v>
      </c>
    </row>
    <row r="169" spans="1:3" x14ac:dyDescent="0.25">
      <c r="A169" t="s">
        <v>486</v>
      </c>
      <c r="B169" s="4">
        <f>2*(IF(FL&lt;=100,TAS_regulated*5,IF(AND(100&lt;FL,FL&lt;300),TAS_regulated*5+(((TAS-TAS_regulated)/200)*(FL-100)+TAS_regulated)*(FL-120)/20,IF(300&lt;=FL,TAS_regulated*5+(((TAS-TAS_regulated)/2)+TAS_regulated)*9+TAS*(FL-300)/20,"error")))/60)</f>
        <v>263.90413525033574</v>
      </c>
      <c r="C169" t="s">
        <v>411</v>
      </c>
    </row>
    <row r="170" spans="1:3" x14ac:dyDescent="0.25">
      <c r="B170" s="4">
        <f>CONVERT(B169,"Nmi","m")/1000</f>
        <v>488.75045848362186</v>
      </c>
      <c r="C170" t="s">
        <v>31</v>
      </c>
    </row>
  </sheetData>
  <mergeCells count="13">
    <mergeCell ref="K48:S48"/>
    <mergeCell ref="K55:S55"/>
    <mergeCell ref="K60:S60"/>
    <mergeCell ref="A130:C130"/>
    <mergeCell ref="E130:G130"/>
    <mergeCell ref="A99:C99"/>
    <mergeCell ref="E99:G99"/>
    <mergeCell ref="E3:G3"/>
    <mergeCell ref="A3:C3"/>
    <mergeCell ref="A67:C67"/>
    <mergeCell ref="E67:G67"/>
    <mergeCell ref="A35:C35"/>
    <mergeCell ref="E35:G35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R116"/>
  <sheetViews>
    <sheetView zoomScale="90" zoomScaleNormal="90" workbookViewId="0"/>
  </sheetViews>
  <sheetFormatPr baseColWidth="10" defaultColWidth="9.140625" defaultRowHeight="15" x14ac:dyDescent="0.25"/>
  <cols>
    <col min="1" max="2" width="13.5703125" customWidth="1"/>
    <col min="4" max="5" width="13.5703125" customWidth="1"/>
    <col min="7" max="8" width="13.5703125" customWidth="1"/>
    <col min="13" max="13" width="13" customWidth="1"/>
    <col min="16" max="16" width="11" customWidth="1"/>
    <col min="17" max="17" width="9.85546875" customWidth="1"/>
    <col min="18" max="18" width="12.7109375" customWidth="1"/>
    <col min="20" max="20" width="10.5703125" customWidth="1"/>
  </cols>
  <sheetData>
    <row r="2" spans="1:8" x14ac:dyDescent="0.25">
      <c r="A2" s="100" t="s">
        <v>435</v>
      </c>
      <c r="B2" s="100"/>
      <c r="C2" s="100"/>
      <c r="D2" s="100"/>
      <c r="E2" s="100"/>
      <c r="F2" s="100"/>
      <c r="G2" s="100"/>
      <c r="H2" s="100"/>
    </row>
    <row r="4" spans="1:8" x14ac:dyDescent="0.25">
      <c r="A4" t="s">
        <v>18</v>
      </c>
      <c r="B4" s="39">
        <f>Hft</f>
        <v>41010.49868766404</v>
      </c>
      <c r="C4" t="s">
        <v>25</v>
      </c>
    </row>
    <row r="6" spans="1:8" x14ac:dyDescent="0.25">
      <c r="A6" s="100" t="s">
        <v>160</v>
      </c>
      <c r="B6" s="100"/>
      <c r="D6" s="100" t="s">
        <v>163</v>
      </c>
      <c r="E6" s="100"/>
      <c r="G6" s="100" t="s">
        <v>164</v>
      </c>
      <c r="H6" s="100"/>
    </row>
    <row r="7" spans="1:8" x14ac:dyDescent="0.25">
      <c r="A7" t="s">
        <v>165</v>
      </c>
      <c r="B7">
        <f>INDEX(A18:A31,MATCH($B$4,A18:A31,1))</f>
        <v>39557.1</v>
      </c>
      <c r="D7" t="s">
        <v>165</v>
      </c>
      <c r="E7">
        <f>INDEX(D18:D31,MATCH($B$4,D18:D31,1))</f>
        <v>39589</v>
      </c>
      <c r="G7" t="s">
        <v>165</v>
      </c>
      <c r="H7">
        <f>INDEX(G18:G31,MATCH($B$4,G18:G31,1))</f>
        <v>39589</v>
      </c>
    </row>
    <row r="8" spans="1:8" x14ac:dyDescent="0.25">
      <c r="A8" t="s">
        <v>166</v>
      </c>
      <c r="B8">
        <f>INDEX(A18:A31,MATCH($B$4,A18:A31,1)+1)</f>
        <v>41538.800000000003</v>
      </c>
      <c r="D8" t="s">
        <v>166</v>
      </c>
      <c r="E8">
        <f>INDEX(D18:D31,MATCH($B$4,D18:D31,1)+1)</f>
        <v>41538.800000000003</v>
      </c>
      <c r="G8" t="s">
        <v>166</v>
      </c>
      <c r="H8">
        <f>INDEX(G18:G31,MATCH($B$4,G18:G31,1)+1)</f>
        <v>41570.800000000003</v>
      </c>
    </row>
    <row r="9" spans="1:8" x14ac:dyDescent="0.25">
      <c r="A9" t="s">
        <v>167</v>
      </c>
      <c r="B9">
        <f>INDEX(B18:B31,MATCH($B$4,A18:A31,1))</f>
        <v>0.967283</v>
      </c>
      <c r="D9" t="s">
        <v>167</v>
      </c>
      <c r="E9">
        <f>INDEX(E18:E31,MATCH($B$4,D18:D31,1))</f>
        <v>1.8037000000000001</v>
      </c>
      <c r="G9" t="s">
        <v>167</v>
      </c>
      <c r="H9">
        <f>INDEX(H18:H31,MATCH($B$4,G18:G31,1))</f>
        <v>1.2034100000000001</v>
      </c>
    </row>
    <row r="10" spans="1:8" x14ac:dyDescent="0.25">
      <c r="A10" t="s">
        <v>168</v>
      </c>
      <c r="B10">
        <f>INDEX(B18:B31,MATCH($B$4,A18:A31,1)+1)</f>
        <v>0.79374100000000003</v>
      </c>
      <c r="D10" t="s">
        <v>168</v>
      </c>
      <c r="E10">
        <f>INDEX(E18:E31,MATCH($B$4,D18:D31,1)+1)</f>
        <v>1.9317200000000001</v>
      </c>
      <c r="G10" t="s">
        <v>168</v>
      </c>
      <c r="H10">
        <f>INDEX(H18:H31,MATCH($B$4,G18:G31,1)+1)</f>
        <v>1.2034100000000001</v>
      </c>
    </row>
    <row r="12" spans="1:8" x14ac:dyDescent="0.25">
      <c r="A12" t="s">
        <v>169</v>
      </c>
      <c r="B12">
        <f>IF(Hft&gt;16500,B9+($B$4-B7)*(B10-B9)/(B8-B7),B19)</f>
        <v>0.84000555384034292</v>
      </c>
      <c r="D12" t="s">
        <v>169</v>
      </c>
      <c r="E12">
        <f>IF(Hft&gt;16500,E9+($B$4-E7)*(E10-E9)/(E8-E7),E19)</f>
        <v>1.8970327838725769</v>
      </c>
      <c r="G12" t="s">
        <v>169</v>
      </c>
      <c r="H12">
        <f>IF(Hft&gt;16500,H9+($B$4-H7)*(H10-H9)/(H8-H7),H19)</f>
        <v>1.2034100000000001</v>
      </c>
    </row>
    <row r="15" spans="1:8" x14ac:dyDescent="0.25">
      <c r="A15" s="3" t="s">
        <v>160</v>
      </c>
      <c r="D15" s="3" t="s">
        <v>161</v>
      </c>
      <c r="G15" s="3" t="s">
        <v>162</v>
      </c>
    </row>
    <row r="17" spans="1:8" x14ac:dyDescent="0.25">
      <c r="A17" t="s">
        <v>375</v>
      </c>
      <c r="B17" t="s">
        <v>482</v>
      </c>
      <c r="D17" t="s">
        <v>375</v>
      </c>
      <c r="E17" t="s">
        <v>481</v>
      </c>
      <c r="G17" t="s">
        <v>375</v>
      </c>
      <c r="H17" t="s">
        <v>481</v>
      </c>
    </row>
    <row r="18" spans="1:8" x14ac:dyDescent="0.25">
      <c r="A18">
        <v>16000</v>
      </c>
      <c r="B18" s="2">
        <f>B19</f>
        <v>2.8449499999999999E-2</v>
      </c>
      <c r="D18">
        <v>16000</v>
      </c>
      <c r="E18" s="2">
        <f>E19</f>
        <v>0.46941699999999997</v>
      </c>
      <c r="G18">
        <v>16000</v>
      </c>
      <c r="H18" s="2">
        <f>H19</f>
        <v>0.86770999999999998</v>
      </c>
    </row>
    <row r="19" spans="1:8" x14ac:dyDescent="0.25">
      <c r="A19">
        <v>17470.3</v>
      </c>
      <c r="B19">
        <v>2.8449499999999999E-2</v>
      </c>
      <c r="D19">
        <v>17502.3</v>
      </c>
      <c r="E19">
        <v>0.46941699999999997</v>
      </c>
      <c r="G19">
        <v>17470.3</v>
      </c>
      <c r="H19">
        <v>0.86770999999999998</v>
      </c>
    </row>
    <row r="20" spans="1:8" x14ac:dyDescent="0.25">
      <c r="A20">
        <v>19547.900000000001</v>
      </c>
      <c r="B20">
        <v>0</v>
      </c>
      <c r="D20">
        <v>19484</v>
      </c>
      <c r="E20">
        <v>0.55761000000000005</v>
      </c>
      <c r="G20">
        <v>19484</v>
      </c>
      <c r="H20">
        <v>0.92460900000000001</v>
      </c>
    </row>
    <row r="21" spans="1:8" x14ac:dyDescent="0.25">
      <c r="A21">
        <v>21529.7</v>
      </c>
      <c r="B21">
        <v>0</v>
      </c>
      <c r="D21">
        <v>21497.7</v>
      </c>
      <c r="E21">
        <v>0.62019899999999994</v>
      </c>
      <c r="G21">
        <v>21497.7</v>
      </c>
      <c r="H21">
        <v>0.95590299999999995</v>
      </c>
    </row>
    <row r="22" spans="1:8" x14ac:dyDescent="0.25">
      <c r="A22">
        <v>23511.4</v>
      </c>
      <c r="B22">
        <v>0.173542</v>
      </c>
      <c r="D22">
        <v>23479.5</v>
      </c>
      <c r="E22">
        <v>0.71123800000000004</v>
      </c>
      <c r="G22">
        <v>23543.4</v>
      </c>
      <c r="H22">
        <v>0.96159300000000003</v>
      </c>
    </row>
    <row r="23" spans="1:8" x14ac:dyDescent="0.25">
      <c r="A23">
        <v>25525.1</v>
      </c>
      <c r="B23">
        <v>0.39544800000000002</v>
      </c>
      <c r="D23">
        <v>25525.1</v>
      </c>
      <c r="E23">
        <v>0.71123800000000004</v>
      </c>
      <c r="G23">
        <v>25525.1</v>
      </c>
      <c r="H23">
        <v>0.944523</v>
      </c>
    </row>
    <row r="24" spans="1:8" x14ac:dyDescent="0.25">
      <c r="A24">
        <v>27506.799999999999</v>
      </c>
      <c r="B24">
        <v>0.799431</v>
      </c>
      <c r="D24">
        <v>27506.799999999999</v>
      </c>
      <c r="E24">
        <v>0.81365600000000005</v>
      </c>
      <c r="G24">
        <v>27538.799999999999</v>
      </c>
      <c r="H24">
        <v>0.927454</v>
      </c>
    </row>
    <row r="25" spans="1:8" x14ac:dyDescent="0.25">
      <c r="A25">
        <v>29456.6</v>
      </c>
      <c r="B25">
        <v>1.2517799999999999</v>
      </c>
      <c r="D25">
        <v>29520.5</v>
      </c>
      <c r="E25">
        <v>0.93029899999999999</v>
      </c>
      <c r="G25">
        <v>29520.5</v>
      </c>
      <c r="H25">
        <v>0.927454</v>
      </c>
    </row>
    <row r="26" spans="1:8" x14ac:dyDescent="0.25">
      <c r="A26">
        <v>31598.2</v>
      </c>
      <c r="B26">
        <v>1.7098199999999999</v>
      </c>
      <c r="D26">
        <v>31502.3</v>
      </c>
      <c r="E26">
        <v>1.00996</v>
      </c>
      <c r="G26">
        <v>31534.2</v>
      </c>
      <c r="H26">
        <v>0.94167900000000004</v>
      </c>
    </row>
    <row r="27" spans="1:8" x14ac:dyDescent="0.25">
      <c r="A27">
        <v>33547.9</v>
      </c>
      <c r="B27">
        <v>2.1052599999999999</v>
      </c>
      <c r="C27" s="19"/>
      <c r="D27">
        <v>33484</v>
      </c>
      <c r="E27">
        <v>1.13229</v>
      </c>
      <c r="F27" s="19"/>
      <c r="G27">
        <v>33516</v>
      </c>
      <c r="H27">
        <v>0.97581799999999996</v>
      </c>
    </row>
    <row r="28" spans="1:8" x14ac:dyDescent="0.25">
      <c r="A28" s="19">
        <v>35529.699999999997</v>
      </c>
      <c r="B28" s="19">
        <v>1.82077</v>
      </c>
      <c r="D28" s="19">
        <v>35561.599999999999</v>
      </c>
      <c r="E28" s="19">
        <v>1.4281600000000001</v>
      </c>
      <c r="G28" s="19">
        <v>35561.599999999999</v>
      </c>
      <c r="H28" s="19">
        <v>1.14083</v>
      </c>
    </row>
    <row r="29" spans="1:8" x14ac:dyDescent="0.25">
      <c r="A29">
        <v>37543.4</v>
      </c>
      <c r="B29">
        <v>1.5334300000000001</v>
      </c>
      <c r="D29">
        <v>37575.300000000003</v>
      </c>
      <c r="E29">
        <v>1.6244700000000001</v>
      </c>
      <c r="G29">
        <v>37543.4</v>
      </c>
      <c r="H29">
        <v>1.21479</v>
      </c>
    </row>
    <row r="30" spans="1:8" x14ac:dyDescent="0.25">
      <c r="A30">
        <v>39557.1</v>
      </c>
      <c r="B30">
        <v>0.967283</v>
      </c>
      <c r="D30" s="20">
        <v>39589</v>
      </c>
      <c r="E30">
        <v>1.8037000000000001</v>
      </c>
      <c r="G30">
        <v>39589</v>
      </c>
      <c r="H30">
        <v>1.2034100000000001</v>
      </c>
    </row>
    <row r="31" spans="1:8" x14ac:dyDescent="0.25">
      <c r="A31">
        <v>41538.800000000003</v>
      </c>
      <c r="B31">
        <v>0.79374100000000003</v>
      </c>
      <c r="D31">
        <v>41538.800000000003</v>
      </c>
      <c r="E31">
        <v>1.9317200000000001</v>
      </c>
      <c r="G31">
        <v>41570.800000000003</v>
      </c>
      <c r="H31">
        <v>1.2034100000000001</v>
      </c>
    </row>
    <row r="36" spans="1:12" x14ac:dyDescent="0.25">
      <c r="A36" s="22" t="s">
        <v>194</v>
      </c>
    </row>
    <row r="38" spans="1:12" x14ac:dyDescent="0.25">
      <c r="I38" s="100" t="s">
        <v>235</v>
      </c>
      <c r="J38" s="100"/>
      <c r="K38" s="100"/>
      <c r="L38" s="100"/>
    </row>
    <row r="40" spans="1:12" x14ac:dyDescent="0.25">
      <c r="I40" s="3" t="s">
        <v>237</v>
      </c>
    </row>
    <row r="41" spans="1:12" x14ac:dyDescent="0.25">
      <c r="I41" t="s">
        <v>236</v>
      </c>
      <c r="J41">
        <f>(3000-1700)/(18000-12000)</f>
        <v>0.21666666666666667</v>
      </c>
      <c r="K41" t="s">
        <v>405</v>
      </c>
    </row>
    <row r="42" spans="1:12" x14ac:dyDescent="0.25">
      <c r="I42" t="s">
        <v>181</v>
      </c>
      <c r="J42">
        <f>1/J41</f>
        <v>4.615384615384615</v>
      </c>
      <c r="K42" t="s">
        <v>406</v>
      </c>
    </row>
    <row r="44" spans="1:12" x14ac:dyDescent="0.25">
      <c r="I44" s="3" t="s">
        <v>238</v>
      </c>
    </row>
    <row r="45" spans="1:12" x14ac:dyDescent="0.25">
      <c r="I45" t="s">
        <v>236</v>
      </c>
      <c r="J45">
        <f>(2800-2150)/(19500-17000)</f>
        <v>0.26</v>
      </c>
      <c r="K45" t="s">
        <v>405</v>
      </c>
    </row>
    <row r="46" spans="1:12" x14ac:dyDescent="0.25">
      <c r="I46" t="s">
        <v>181</v>
      </c>
      <c r="J46">
        <f>1/J45</f>
        <v>3.8461538461538458</v>
      </c>
      <c r="K46" t="s">
        <v>406</v>
      </c>
    </row>
    <row r="71" spans="1:14" x14ac:dyDescent="0.25">
      <c r="A71" s="100" t="s">
        <v>495</v>
      </c>
      <c r="B71" s="100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</row>
    <row r="73" spans="1:14" x14ac:dyDescent="0.25">
      <c r="A73" s="3" t="s">
        <v>212</v>
      </c>
      <c r="B73" s="3" t="s">
        <v>438</v>
      </c>
      <c r="C73" s="3" t="s">
        <v>439</v>
      </c>
      <c r="D73" s="3" t="s">
        <v>440</v>
      </c>
      <c r="E73" s="3" t="s">
        <v>441</v>
      </c>
      <c r="F73" s="3" t="s">
        <v>442</v>
      </c>
    </row>
    <row r="74" spans="1:14" x14ac:dyDescent="0.25">
      <c r="A74" s="3">
        <v>0</v>
      </c>
      <c r="B74" s="14">
        <v>1.5169006519909571E-2</v>
      </c>
      <c r="C74" s="14">
        <v>1.4796699210118034E-2</v>
      </c>
      <c r="D74" s="14">
        <v>1.4080650421250422E-2</v>
      </c>
      <c r="E74" s="14">
        <v>1.3811231755002139E-2</v>
      </c>
      <c r="F74" s="14">
        <v>1.4965113467906511E-2</v>
      </c>
    </row>
    <row r="75" spans="1:14" x14ac:dyDescent="0.25">
      <c r="A75" s="3">
        <v>0.1</v>
      </c>
      <c r="B75" s="14">
        <v>1.5599867118994703E-2</v>
      </c>
      <c r="C75" s="14">
        <v>1.5238400912902218E-2</v>
      </c>
      <c r="D75" s="14">
        <v>1.4546885117798159E-2</v>
      </c>
      <c r="E75" s="14">
        <v>1.4310821859463902E-2</v>
      </c>
      <c r="F75" s="14">
        <v>1.5503222177152236E-2</v>
      </c>
    </row>
    <row r="76" spans="1:14" x14ac:dyDescent="0.25">
      <c r="A76" s="3">
        <v>0.2</v>
      </c>
      <c r="B76" s="14">
        <v>1.6892448916250101E-2</v>
      </c>
      <c r="C76" s="14">
        <v>1.6563506021254771E-2</v>
      </c>
      <c r="D76" s="14">
        <v>1.5945589207441373E-2</v>
      </c>
      <c r="E76" s="14">
        <v>1.5809592172849194E-2</v>
      </c>
      <c r="F76" s="14">
        <v>1.7117548304889416E-2</v>
      </c>
    </row>
    <row r="77" spans="1:14" x14ac:dyDescent="0.25">
      <c r="A77" s="3">
        <v>0.3</v>
      </c>
      <c r="B77" s="14">
        <v>1.9046751911675767E-2</v>
      </c>
      <c r="C77" s="14">
        <v>1.8772014535175689E-2</v>
      </c>
      <c r="D77" s="14">
        <v>1.8276762690180061E-2</v>
      </c>
      <c r="E77" s="14">
        <v>1.8307542695158011E-2</v>
      </c>
      <c r="F77" s="14">
        <v>1.9808091851118044E-2</v>
      </c>
    </row>
    <row r="78" spans="1:14" x14ac:dyDescent="0.25">
      <c r="A78" s="3">
        <v>0.4</v>
      </c>
      <c r="B78" s="14">
        <v>2.2062776105271697E-2</v>
      </c>
      <c r="C78" s="14">
        <v>2.1863926454664978E-2</v>
      </c>
      <c r="D78" s="14">
        <v>2.1540405566014224E-2</v>
      </c>
      <c r="E78" s="14">
        <v>2.1804673426390357E-2</v>
      </c>
      <c r="F78" s="14">
        <v>2.3574852815838127E-2</v>
      </c>
    </row>
    <row r="79" spans="1:14" x14ac:dyDescent="0.25">
      <c r="A79" s="3">
        <v>0.5</v>
      </c>
      <c r="B79" s="14">
        <v>2.5940521497037891E-2</v>
      </c>
      <c r="C79" s="14">
        <v>2.5839241779722629E-2</v>
      </c>
      <c r="D79" s="14">
        <v>2.5736517834943858E-2</v>
      </c>
      <c r="E79" s="14">
        <v>2.630098436654623E-2</v>
      </c>
      <c r="F79" s="14">
        <v>2.8417831199049656E-2</v>
      </c>
    </row>
    <row r="80" spans="1:14" x14ac:dyDescent="0.25">
      <c r="A80" s="3">
        <v>0.6</v>
      </c>
      <c r="B80" s="14">
        <v>3.067998808697435E-2</v>
      </c>
      <c r="C80" s="14">
        <v>3.0697960510348649E-2</v>
      </c>
      <c r="D80" s="14">
        <v>3.0865099496968973E-2</v>
      </c>
      <c r="E80" s="14">
        <v>3.179647551562563E-2</v>
      </c>
      <c r="F80" s="14">
        <v>3.433702700075264E-2</v>
      </c>
    </row>
    <row r="81" spans="1:13" x14ac:dyDescent="0.25">
      <c r="A81" s="3">
        <v>0.7</v>
      </c>
      <c r="B81" s="14">
        <v>3.6281175875081076E-2</v>
      </c>
      <c r="C81" s="14">
        <v>3.644008264654304E-2</v>
      </c>
      <c r="D81" s="14">
        <v>3.6926150552089559E-2</v>
      </c>
      <c r="E81" s="14">
        <v>3.8291146873628557E-2</v>
      </c>
      <c r="F81" s="14">
        <v>4.1332440220947078E-2</v>
      </c>
    </row>
    <row r="82" spans="1:13" x14ac:dyDescent="0.25">
      <c r="A82" s="3">
        <v>0.8</v>
      </c>
      <c r="B82" s="14">
        <v>4.2744084861358077E-2</v>
      </c>
      <c r="C82" s="14">
        <v>4.3065608188305807E-2</v>
      </c>
      <c r="D82" s="14">
        <v>4.3919671000305631E-2</v>
      </c>
      <c r="E82" s="14">
        <v>4.5784998440555016E-2</v>
      </c>
      <c r="F82" s="14">
        <v>4.940407085963297E-2</v>
      </c>
    </row>
    <row r="83" spans="1:13" x14ac:dyDescent="0.25">
      <c r="A83" s="3">
        <v>0.9</v>
      </c>
      <c r="B83" s="14">
        <v>5.0068715045805331E-2</v>
      </c>
      <c r="C83" s="14">
        <v>5.0574537135636921E-2</v>
      </c>
      <c r="D83" s="14">
        <v>5.1845660841617167E-2</v>
      </c>
      <c r="E83" s="14">
        <v>5.4278030216404996E-2</v>
      </c>
      <c r="F83" s="14">
        <v>5.8551918916810317E-2</v>
      </c>
    </row>
    <row r="84" spans="1:13" x14ac:dyDescent="0.25">
      <c r="A84" s="3">
        <v>1</v>
      </c>
      <c r="B84" s="14">
        <v>5.8255066428422854E-2</v>
      </c>
      <c r="C84" s="14">
        <v>5.8966869488536411E-2</v>
      </c>
      <c r="D84" s="14">
        <v>6.0704120076024173E-2</v>
      </c>
      <c r="E84" s="14">
        <v>6.3770242201178509E-2</v>
      </c>
      <c r="F84" s="14">
        <v>6.8775984392479103E-2</v>
      </c>
    </row>
    <row r="85" spans="1:13" x14ac:dyDescent="0.25">
      <c r="A85" s="3">
        <v>1.1000000000000001</v>
      </c>
      <c r="B85" s="14">
        <v>6.7303139009210644E-2</v>
      </c>
      <c r="C85" s="14">
        <v>6.8242605247004276E-2</v>
      </c>
      <c r="D85" s="14">
        <v>7.0495048703526672E-2</v>
      </c>
      <c r="E85" s="14">
        <v>7.4261634394875556E-2</v>
      </c>
      <c r="F85" s="14">
        <v>8.0076267286639358E-2</v>
      </c>
    </row>
    <row r="86" spans="1:13" x14ac:dyDescent="0.25">
      <c r="A86" s="3">
        <v>1.2</v>
      </c>
      <c r="B86" s="14">
        <v>7.7212932788168681E-2</v>
      </c>
      <c r="C86" s="14">
        <v>7.8401744411040489E-2</v>
      </c>
      <c r="D86" s="14">
        <v>8.1218446724124621E-2</v>
      </c>
      <c r="E86" s="14">
        <v>8.5752206797496108E-2</v>
      </c>
      <c r="F86" s="14">
        <v>9.2452767599291039E-2</v>
      </c>
    </row>
    <row r="87" spans="1:13" x14ac:dyDescent="0.25">
      <c r="A87" s="3">
        <v>1.3</v>
      </c>
      <c r="B87" s="14">
        <v>8.7984447765297027E-2</v>
      </c>
      <c r="C87" s="14">
        <v>8.9444286980645105E-2</v>
      </c>
      <c r="D87" s="14">
        <v>9.2874314137818076E-2</v>
      </c>
      <c r="E87" s="14">
        <v>9.8241959409040208E-2</v>
      </c>
      <c r="F87" s="14">
        <v>0.10590548533043419</v>
      </c>
    </row>
    <row r="88" spans="1:13" x14ac:dyDescent="0.25">
      <c r="A88" s="3">
        <v>1.4</v>
      </c>
      <c r="B88" s="14">
        <v>9.9617683940595586E-2</v>
      </c>
      <c r="C88" s="14">
        <v>0.10137023295581804</v>
      </c>
      <c r="D88" s="14">
        <v>0.10546265094460697</v>
      </c>
      <c r="E88" s="14">
        <v>0.1117308922295078</v>
      </c>
      <c r="F88" s="14">
        <v>0.12043442048006878</v>
      </c>
    </row>
    <row r="89" spans="1:13" x14ac:dyDescent="0.25">
      <c r="A89" s="3">
        <v>1.5</v>
      </c>
      <c r="B89" s="14">
        <v>0.11211264131406445</v>
      </c>
      <c r="C89" s="14">
        <v>0.11417958233655938</v>
      </c>
      <c r="D89" s="14">
        <v>0.11898345714449136</v>
      </c>
      <c r="E89" s="14">
        <v>0.12621900525889898</v>
      </c>
      <c r="F89" s="14">
        <v>0.13603957304819483</v>
      </c>
    </row>
    <row r="91" spans="1:13" x14ac:dyDescent="0.25">
      <c r="H91" s="2" t="s">
        <v>462</v>
      </c>
    </row>
    <row r="93" spans="1:13" x14ac:dyDescent="0.25">
      <c r="M93" s="4"/>
    </row>
    <row r="94" spans="1:13" x14ac:dyDescent="0.25">
      <c r="M94" s="4"/>
    </row>
    <row r="95" spans="1:13" x14ac:dyDescent="0.25">
      <c r="M95" s="4"/>
    </row>
    <row r="96" spans="1:13" x14ac:dyDescent="0.25">
      <c r="M96" s="4"/>
    </row>
    <row r="97" spans="2:18" x14ac:dyDescent="0.25">
      <c r="E97" s="2"/>
      <c r="M97" s="4"/>
    </row>
    <row r="98" spans="2:18" x14ac:dyDescent="0.25">
      <c r="L98" s="3"/>
      <c r="M98" s="4"/>
      <c r="Q98" s="3"/>
      <c r="R98" s="4"/>
    </row>
    <row r="99" spans="2:18" x14ac:dyDescent="0.25">
      <c r="M99" s="4"/>
      <c r="R99" s="4"/>
    </row>
    <row r="100" spans="2:18" x14ac:dyDescent="0.25">
      <c r="M100" s="4"/>
      <c r="R100" s="4"/>
    </row>
    <row r="101" spans="2:18" x14ac:dyDescent="0.25">
      <c r="H101" s="2"/>
      <c r="L101" s="3"/>
      <c r="M101" s="4"/>
      <c r="Q101" s="3"/>
      <c r="R101" s="4"/>
    </row>
    <row r="102" spans="2:18" x14ac:dyDescent="0.25">
      <c r="M102" s="4"/>
      <c r="R102" s="4"/>
    </row>
    <row r="103" spans="2:18" x14ac:dyDescent="0.25">
      <c r="C103" s="4"/>
      <c r="M103" s="4"/>
      <c r="R103" s="4"/>
    </row>
    <row r="104" spans="2:18" x14ac:dyDescent="0.25">
      <c r="C104" s="4"/>
      <c r="L104" s="3"/>
      <c r="M104" s="4"/>
      <c r="R104" s="4"/>
    </row>
    <row r="105" spans="2:18" x14ac:dyDescent="0.25">
      <c r="M105" s="4"/>
      <c r="Q105" s="3"/>
      <c r="R105" s="4"/>
    </row>
    <row r="106" spans="2:18" x14ac:dyDescent="0.25">
      <c r="C106" s="4"/>
      <c r="M106" s="4"/>
      <c r="R106" s="4"/>
    </row>
    <row r="107" spans="2:18" x14ac:dyDescent="0.25">
      <c r="C107" s="4"/>
      <c r="R107" s="4"/>
    </row>
    <row r="109" spans="2:18" x14ac:dyDescent="0.25">
      <c r="P109" s="4"/>
    </row>
    <row r="110" spans="2:18" x14ac:dyDescent="0.25">
      <c r="P110" s="4"/>
    </row>
    <row r="112" spans="2:18" x14ac:dyDescent="0.25">
      <c r="B112" s="3"/>
      <c r="C112" s="3"/>
      <c r="D112" s="3"/>
      <c r="E112" s="3"/>
      <c r="F112" s="3"/>
      <c r="G112" s="3"/>
      <c r="H112" s="3"/>
      <c r="I112" s="3"/>
      <c r="J112" s="3"/>
    </row>
    <row r="113" spans="1:10" x14ac:dyDescent="0.25">
      <c r="A113" s="3"/>
      <c r="B113" s="4"/>
      <c r="C113" s="4"/>
      <c r="D113" s="4"/>
      <c r="E113" s="4"/>
      <c r="F113" s="4"/>
      <c r="G113" s="4"/>
      <c r="H113" s="4"/>
      <c r="I113" s="4"/>
      <c r="J113" s="4"/>
    </row>
    <row r="114" spans="1:10" x14ac:dyDescent="0.25">
      <c r="A114" s="35"/>
      <c r="B114" s="4"/>
      <c r="C114" s="4"/>
      <c r="D114" s="4"/>
      <c r="E114" s="4"/>
      <c r="F114" s="4"/>
      <c r="G114" s="4"/>
      <c r="H114" s="4"/>
      <c r="I114" s="4"/>
      <c r="J114" s="4"/>
    </row>
    <row r="115" spans="1:10" x14ac:dyDescent="0.25">
      <c r="A115" s="35"/>
      <c r="B115" s="4"/>
      <c r="C115" s="4"/>
      <c r="D115" s="4"/>
      <c r="E115" s="4"/>
      <c r="F115" s="4"/>
      <c r="G115" s="4"/>
      <c r="H115" s="4"/>
      <c r="I115" s="4"/>
      <c r="J115" s="4"/>
    </row>
    <row r="116" spans="1:10" x14ac:dyDescent="0.25">
      <c r="A116" s="3"/>
      <c r="B116" s="4"/>
      <c r="C116" s="4"/>
      <c r="D116" s="4"/>
      <c r="E116" s="4"/>
      <c r="F116" s="4"/>
      <c r="G116" s="4"/>
      <c r="H116" s="4"/>
      <c r="I116" s="4"/>
      <c r="J116" s="4"/>
    </row>
  </sheetData>
  <mergeCells count="6">
    <mergeCell ref="A71:N71"/>
    <mergeCell ref="A2:H2"/>
    <mergeCell ref="A6:B6"/>
    <mergeCell ref="D6:E6"/>
    <mergeCell ref="G6:H6"/>
    <mergeCell ref="I38:L38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1"/>
  <sheetViews>
    <sheetView workbookViewId="0">
      <selection activeCell="A10" sqref="A10"/>
    </sheetView>
  </sheetViews>
  <sheetFormatPr baseColWidth="10" defaultRowHeight="15" x14ac:dyDescent="0.25"/>
  <sheetData>
    <row r="1" spans="1:6" x14ac:dyDescent="0.25">
      <c r="A1" s="90" t="s">
        <v>506</v>
      </c>
      <c r="B1" s="91"/>
      <c r="C1" s="91"/>
      <c r="D1" s="91"/>
      <c r="E1" s="91"/>
      <c r="F1" s="91"/>
    </row>
    <row r="2" spans="1:6" x14ac:dyDescent="0.25">
      <c r="A2" s="90" t="s">
        <v>507</v>
      </c>
      <c r="B2" s="91"/>
      <c r="C2" s="91"/>
      <c r="D2" s="91"/>
      <c r="E2" s="91"/>
      <c r="F2" s="91"/>
    </row>
    <row r="3" spans="1:6" x14ac:dyDescent="0.25">
      <c r="A3" s="91"/>
      <c r="B3" s="91"/>
      <c r="C3" s="91"/>
      <c r="D3" s="91"/>
      <c r="E3" s="91"/>
      <c r="F3" s="91"/>
    </row>
    <row r="4" spans="1:6" x14ac:dyDescent="0.25">
      <c r="A4" s="91"/>
      <c r="B4" s="91"/>
      <c r="C4" s="91"/>
      <c r="D4" s="91"/>
      <c r="E4" s="91"/>
      <c r="F4" s="91"/>
    </row>
    <row r="5" spans="1:6" x14ac:dyDescent="0.25">
      <c r="A5" s="91"/>
      <c r="B5" s="91"/>
      <c r="C5" s="91"/>
      <c r="D5" s="91"/>
      <c r="E5" s="91"/>
      <c r="F5" s="91"/>
    </row>
    <row r="6" spans="1:6" x14ac:dyDescent="0.25">
      <c r="A6" s="91"/>
      <c r="B6" s="91"/>
      <c r="C6" s="91"/>
      <c r="D6" s="91"/>
      <c r="E6" s="91"/>
      <c r="F6" s="91"/>
    </row>
    <row r="7" spans="1:6" x14ac:dyDescent="0.25">
      <c r="A7" s="91"/>
      <c r="B7" s="91"/>
      <c r="C7" s="91"/>
      <c r="D7" s="91"/>
      <c r="E7" s="91"/>
      <c r="F7" s="91"/>
    </row>
    <row r="8" spans="1:6" x14ac:dyDescent="0.25">
      <c r="A8" s="91"/>
      <c r="B8" s="91"/>
      <c r="C8" s="91"/>
      <c r="D8" s="91"/>
      <c r="E8" s="91"/>
      <c r="F8" s="91"/>
    </row>
    <row r="9" spans="1:6" ht="15.75" x14ac:dyDescent="0.3">
      <c r="A9" s="92" t="s">
        <v>508</v>
      </c>
      <c r="B9" s="91"/>
      <c r="C9" s="91"/>
      <c r="D9" s="91"/>
      <c r="E9" s="91"/>
      <c r="F9" s="91"/>
    </row>
    <row r="10" spans="1:6" ht="15.75" x14ac:dyDescent="0.3">
      <c r="A10" s="92" t="s">
        <v>511</v>
      </c>
      <c r="B10" s="91"/>
      <c r="C10" s="91"/>
      <c r="D10" s="91"/>
      <c r="E10" s="91"/>
      <c r="F10" s="91"/>
    </row>
    <row r="11" spans="1:6" ht="15.75" x14ac:dyDescent="0.3">
      <c r="A11" s="92" t="s">
        <v>509</v>
      </c>
      <c r="B11" s="91"/>
      <c r="C11" s="91"/>
      <c r="D11" s="91"/>
      <c r="E11" s="91"/>
      <c r="F11" s="91"/>
    </row>
    <row r="12" spans="1:6" ht="15.75" x14ac:dyDescent="0.3">
      <c r="A12" s="92" t="s">
        <v>499</v>
      </c>
      <c r="B12" s="91"/>
      <c r="C12" s="91"/>
      <c r="D12" s="91"/>
      <c r="E12" s="91"/>
      <c r="F12" s="91"/>
    </row>
    <row r="13" spans="1:6" ht="15.75" x14ac:dyDescent="0.3">
      <c r="A13" s="92" t="s">
        <v>500</v>
      </c>
      <c r="B13" s="91"/>
      <c r="C13" s="91"/>
      <c r="D13" s="91"/>
      <c r="E13" s="91"/>
      <c r="F13" s="91"/>
    </row>
    <row r="14" spans="1:6" ht="15.75" x14ac:dyDescent="0.3">
      <c r="A14" s="92" t="s">
        <v>501</v>
      </c>
      <c r="B14" s="91"/>
      <c r="C14" s="91"/>
      <c r="D14" s="91"/>
      <c r="E14" s="91"/>
      <c r="F14" s="91"/>
    </row>
    <row r="15" spans="1:6" ht="15.75" x14ac:dyDescent="0.3">
      <c r="A15" s="92"/>
      <c r="B15" s="91"/>
      <c r="C15" s="91"/>
      <c r="D15" s="91"/>
      <c r="E15" s="91"/>
      <c r="F15" s="91"/>
    </row>
    <row r="16" spans="1:6" ht="15.75" x14ac:dyDescent="0.3">
      <c r="A16" s="92" t="s">
        <v>510</v>
      </c>
      <c r="B16" s="91"/>
      <c r="C16" s="91"/>
      <c r="D16" s="91"/>
      <c r="E16" s="91"/>
      <c r="F16" s="91"/>
    </row>
    <row r="17" spans="1:6" ht="15.75" x14ac:dyDescent="0.3">
      <c r="A17" s="92" t="s">
        <v>502</v>
      </c>
      <c r="B17" s="91"/>
      <c r="C17" s="91"/>
      <c r="D17" s="91"/>
      <c r="E17" s="91"/>
      <c r="F17" s="91"/>
    </row>
    <row r="18" spans="1:6" ht="15.75" x14ac:dyDescent="0.3">
      <c r="A18" s="92" t="s">
        <v>503</v>
      </c>
      <c r="B18" s="91"/>
      <c r="C18" s="91"/>
      <c r="D18" s="91"/>
      <c r="E18" s="91"/>
      <c r="F18" s="91"/>
    </row>
    <row r="19" spans="1:6" ht="15.75" x14ac:dyDescent="0.3">
      <c r="A19" s="92" t="s">
        <v>504</v>
      </c>
      <c r="B19" s="91"/>
      <c r="C19" s="91"/>
      <c r="D19" s="91"/>
      <c r="E19" s="91"/>
      <c r="F19" s="91"/>
    </row>
    <row r="20" spans="1:6" x14ac:dyDescent="0.25">
      <c r="A20" s="91"/>
      <c r="B20" s="91"/>
      <c r="C20" s="91"/>
      <c r="D20" s="91"/>
      <c r="E20" s="91"/>
      <c r="F20" s="91"/>
    </row>
    <row r="21" spans="1:6" x14ac:dyDescent="0.25">
      <c r="A21" s="93" t="s">
        <v>505</v>
      </c>
      <c r="B21" s="91"/>
      <c r="C21" s="91"/>
      <c r="D21" s="91"/>
      <c r="E21" s="91"/>
      <c r="F21" s="91"/>
    </row>
  </sheetData>
  <hyperlinks>
    <hyperlink ref="A21" r:id="rId1" xr:uid="{00000000-0004-0000-0600-000000000000}"/>
  </hyperlinks>
  <pageMargins left="0.7" right="0.7" top="0.78740157499999996" bottom="0.78740157499999996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75</vt:i4>
      </vt:variant>
    </vt:vector>
  </HeadingPairs>
  <TitlesOfParts>
    <vt:vector size="82" baseType="lpstr">
      <vt:lpstr>Inputs_Outputs</vt:lpstr>
      <vt:lpstr>Fuel</vt:lpstr>
      <vt:lpstr>DOC</vt:lpstr>
      <vt:lpstr>Environmental</vt:lpstr>
      <vt:lpstr>Flight time</vt:lpstr>
      <vt:lpstr>Extra information</vt:lpstr>
      <vt:lpstr>(c)</vt:lpstr>
      <vt:lpstr>A</vt:lpstr>
      <vt:lpstr>a_sound</vt:lpstr>
      <vt:lpstr>a0</vt:lpstr>
      <vt:lpstr>b</vt:lpstr>
      <vt:lpstr>BPR</vt:lpstr>
      <vt:lpstr>c_dw</vt:lpstr>
      <vt:lpstr>Cd</vt:lpstr>
      <vt:lpstr>Cd0</vt:lpstr>
      <vt:lpstr>Cdoc</vt:lpstr>
      <vt:lpstr>CF_AIC</vt:lpstr>
      <vt:lpstr>CF_NOx</vt:lpstr>
      <vt:lpstr>CL</vt:lpstr>
      <vt:lpstr>Cl_opt</vt:lpstr>
      <vt:lpstr>e</vt:lpstr>
      <vt:lpstr>E_glide</vt:lpstr>
      <vt:lpstr>e_oswald</vt:lpstr>
      <vt:lpstr>E_ratio</vt:lpstr>
      <vt:lpstr>EI_NOx</vt:lpstr>
      <vt:lpstr>EI_NOx_kg</vt:lpstr>
      <vt:lpstr>FL</vt:lpstr>
      <vt:lpstr>fuel</vt:lpstr>
      <vt:lpstr>fuel_km</vt:lpstr>
      <vt:lpstr>fuel_mile</vt:lpstr>
      <vt:lpstr>g</vt:lpstr>
      <vt:lpstr>H</vt:lpstr>
      <vt:lpstr>Hft</vt:lpstr>
      <vt:lpstr>k_inf</vt:lpstr>
      <vt:lpstr>L</vt:lpstr>
      <vt:lpstr>M</vt:lpstr>
      <vt:lpstr>m_e</vt:lpstr>
      <vt:lpstr>M_mo</vt:lpstr>
      <vt:lpstr>M_opt</vt:lpstr>
      <vt:lpstr>m_PL</vt:lpstr>
      <vt:lpstr>m_PLmax</vt:lpstr>
      <vt:lpstr>Mff</vt:lpstr>
      <vt:lpstr>mFOB</vt:lpstr>
      <vt:lpstr>MTOW</vt:lpstr>
      <vt:lpstr>MZFW</vt:lpstr>
      <vt:lpstr>n_E</vt:lpstr>
      <vt:lpstr>n_PAX</vt:lpstr>
      <vt:lpstr>n_shafts</vt:lpstr>
      <vt:lpstr>n_stages</vt:lpstr>
      <vt:lpstr>nt_a</vt:lpstr>
      <vt:lpstr>OAPR</vt:lpstr>
      <vt:lpstr>OEW</vt:lpstr>
      <vt:lpstr>p</vt:lpstr>
      <vt:lpstr>p_t</vt:lpstr>
      <vt:lpstr>p0</vt:lpstr>
      <vt:lpstr>phi</vt:lpstr>
      <vt:lpstr>phi_rad</vt:lpstr>
      <vt:lpstr>price_fuel</vt:lpstr>
      <vt:lpstr>R_const</vt:lpstr>
      <vt:lpstr>range</vt:lpstr>
      <vt:lpstr>range_added</vt:lpstr>
      <vt:lpstr>range_mile</vt:lpstr>
      <vt:lpstr>rho</vt:lpstr>
      <vt:lpstr>rho_t</vt:lpstr>
      <vt:lpstr>rho0</vt:lpstr>
      <vt:lpstr>SS</vt:lpstr>
      <vt:lpstr>T</vt:lpstr>
      <vt:lpstr>T_t</vt:lpstr>
      <vt:lpstr>T_to</vt:lpstr>
      <vt:lpstr>T0</vt:lpstr>
      <vt:lpstr>TAS</vt:lpstr>
      <vt:lpstr>TAS_regulated</vt:lpstr>
      <vt:lpstr>tb</vt:lpstr>
      <vt:lpstr>tf</vt:lpstr>
      <vt:lpstr>tf_added</vt:lpstr>
      <vt:lpstr>TSFC</vt:lpstr>
      <vt:lpstr>Uaf</vt:lpstr>
      <vt:lpstr>Uhf</vt:lpstr>
      <vt:lpstr>w_co2</vt:lpstr>
      <vt:lpstr>w_doc</vt:lpstr>
      <vt:lpstr>w_env</vt:lpstr>
      <vt:lpstr>w_resource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Brecht Caers</dc:creator>
  <cp:lastModifiedBy>USUARIO</cp:lastModifiedBy>
  <dcterms:created xsi:type="dcterms:W3CDTF">2019-04-24T14:28:44Z</dcterms:created>
  <dcterms:modified xsi:type="dcterms:W3CDTF">2020-11-28T20:18:38Z</dcterms:modified>
</cp:coreProperties>
</file>